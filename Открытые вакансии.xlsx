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A40830-A398-4307-9B1F-8BCA093E5925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ЧСК Точиктелеком" sheetId="1" r:id="rId1"/>
    <sheet name="Филиали ВМКБ " sheetId="2" r:id="rId2"/>
    <sheet name="Филиали Сугд" sheetId="3" r:id="rId3"/>
    <sheet name="филиали Маркази " sheetId="4" r:id="rId4"/>
    <sheet name="Филиали ШЧТМ" sheetId="5" r:id="rId5"/>
    <sheet name="Филиали Хатлон " sheetId="6" r:id="rId6"/>
    <sheet name="ҶДММ &quot;Композит Т.А.&quot;" sheetId="23" state="hidden" r:id="rId7"/>
    <sheet name="ООО &quot;Азия Кемикал&quot; (копия)" sheetId="29" r:id="rId8"/>
    <sheet name="ООО &quot;Весто Эдукейшн&quot; " sheetId="30" r:id="rId9"/>
    <sheet name="Проект &quot;Сити Кард&quot; (копия)" sheetId="31" r:id="rId10"/>
    <sheet name="Проект &quot;Сити Карт&quot;" sheetId="32" r:id="rId11"/>
    <sheet name="ООО &quot;Филиззот&quot; (копия)" sheetId="33" r:id="rId12"/>
    <sheet name="ООО&quot;Филиззот&quot;" sheetId="34" r:id="rId13"/>
    <sheet name="ООО &quot;КМ Муосир&quot;" sheetId="35" r:id="rId14"/>
  </sheets>
  <definedNames>
    <definedName name="_xlnm._FilterDatabase" localSheetId="7" hidden="1">'ООО "Азия Кемикал" (копия)'!$A$1:$N$5</definedName>
    <definedName name="_xlnm._FilterDatabase" localSheetId="8" hidden="1">'ООО "Весто Эдукейшн" '!$A$1:$N$17</definedName>
    <definedName name="_xlnm._FilterDatabase" localSheetId="13" hidden="1">'ООО "КМ Муосир"'!$A$1:$N$2</definedName>
    <definedName name="_xlnm._FilterDatabase" localSheetId="11" hidden="1">'ООО "Филиззот" (копия)'!$A$1:$N$11</definedName>
    <definedName name="_xlnm._FilterDatabase" localSheetId="9" hidden="1">'Проект "Сити Кард" (копия)'!$A$1:$N$3</definedName>
    <definedName name="_xlnm._FilterDatabase" localSheetId="1" hidden="1">'Филиали ВМКБ '!$A$1:$N$130</definedName>
    <definedName name="_xlnm._FilterDatabase" localSheetId="2" hidden="1">'Филиали Сугд'!$A$1:$N$11</definedName>
    <definedName name="_xlnm._FilterDatabase" localSheetId="5" hidden="1">'Филиали Хатлон '!$A$1:$N$6</definedName>
    <definedName name="_xlnm._FilterDatabase" localSheetId="4" hidden="1">'Филиали ШЧТМ'!$A$1:$N$23</definedName>
    <definedName name="_xlnm._FilterDatabase" localSheetId="0" hidden="1">'ЧСК Точиктелеком'!$A$1:$O$17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5" l="1"/>
  <c r="I11" i="33"/>
  <c r="I10" i="33"/>
  <c r="I9" i="33"/>
  <c r="I8" i="33"/>
  <c r="I7" i="33"/>
  <c r="I6" i="33"/>
  <c r="I5" i="33"/>
  <c r="I4" i="33"/>
  <c r="I3" i="33"/>
  <c r="A3" i="33"/>
  <c r="A4" i="33" s="1"/>
  <c r="A5" i="33" s="1"/>
  <c r="A6" i="33" s="1"/>
  <c r="A7" i="33" s="1"/>
  <c r="A8" i="33" s="1"/>
  <c r="A9" i="33" s="1"/>
  <c r="A10" i="33" s="1"/>
  <c r="A11" i="33" s="1"/>
  <c r="I2" i="33"/>
  <c r="I3" i="31"/>
  <c r="A3" i="31"/>
  <c r="I2" i="31"/>
  <c r="I2" i="30"/>
  <c r="I5" i="29"/>
  <c r="I4" i="29"/>
  <c r="A4" i="29"/>
  <c r="A5" i="29" s="1"/>
  <c r="I3" i="29"/>
  <c r="A3" i="29"/>
  <c r="I2" i="29"/>
  <c r="I6" i="6"/>
  <c r="A6" i="6"/>
  <c r="I5" i="6"/>
  <c r="A5" i="6"/>
  <c r="I4" i="6"/>
  <c r="A4" i="6"/>
  <c r="I3" i="6"/>
  <c r="A3" i="6"/>
  <c r="I2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3" i="5"/>
  <c r="I6" i="3"/>
  <c r="I5" i="3"/>
  <c r="I4" i="3"/>
  <c r="I3" i="3"/>
  <c r="A3" i="3"/>
  <c r="A4" i="3" s="1"/>
  <c r="A5" i="3" s="1"/>
  <c r="A6" i="3" s="1"/>
  <c r="A7" i="3" s="1"/>
  <c r="A8" i="3" s="1"/>
  <c r="I2" i="3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I3" i="2"/>
  <c r="A3" i="2"/>
  <c r="I2" i="2"/>
  <c r="I12" i="1"/>
  <c r="I11" i="1"/>
  <c r="I9" i="1"/>
  <c r="I8" i="1"/>
  <c r="I7" i="1"/>
  <c r="I6" i="1"/>
  <c r="I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I3" i="1"/>
  <c r="A3" i="1"/>
  <c r="I2" i="1"/>
</calcChain>
</file>

<file path=xl/sharedStrings.xml><?xml version="1.0" encoding="utf-8"?>
<sst xmlns="http://schemas.openxmlformats.org/spreadsheetml/2006/main" count="1565" uniqueCount="376">
  <si>
    <t>№ ЗАЯВКИ</t>
  </si>
  <si>
    <t>КАТЕГОРИЯ</t>
  </si>
  <si>
    <t>ТИП</t>
  </si>
  <si>
    <t>ПОЗИЦИЯ</t>
  </si>
  <si>
    <t>ОТДЕЛ</t>
  </si>
  <si>
    <t>ПОДРАЗДЕЛЕНИЕ</t>
  </si>
  <si>
    <t>ДАТА ОТКРЫТИЯ ВАКАНСИИ</t>
  </si>
  <si>
    <t>ДАТА ЗАКРЫТИЯ ВАКАНСИИ</t>
  </si>
  <si>
    <t>КОЛИЧЕСТВО ДНЕЙ НА ЗАКРЫТИЕ ВАКАНСИИ</t>
  </si>
  <si>
    <t>КОЛИЧЕСТВО НАЙМА</t>
  </si>
  <si>
    <t>Количество кандидатов на собесдовании</t>
  </si>
  <si>
    <t>Всего закрытых</t>
  </si>
  <si>
    <t>ФИО СОТРУДНИКА</t>
  </si>
  <si>
    <t>ИНН</t>
  </si>
  <si>
    <t>ПРИМЕЧАНИЕ</t>
  </si>
  <si>
    <t>Специалист</t>
  </si>
  <si>
    <t>Официальный</t>
  </si>
  <si>
    <t>Бизнес-Аналитик</t>
  </si>
  <si>
    <t>Департамент инвестиционных проектов</t>
  </si>
  <si>
    <t>Авесто Групп</t>
  </si>
  <si>
    <t>Хотами Амир</t>
  </si>
  <si>
    <t>Вакансия закрыта</t>
  </si>
  <si>
    <t>Копирайтер</t>
  </si>
  <si>
    <t>Отдел маркетинга</t>
  </si>
  <si>
    <t>Боева Мунавар</t>
  </si>
  <si>
    <t>Руководитель</t>
  </si>
  <si>
    <t>Проект-менеджер</t>
  </si>
  <si>
    <t>Реализация инвестиционных проектов</t>
  </si>
  <si>
    <t>Директор производства полного цикла текстильной продукции</t>
  </si>
  <si>
    <t>Коммерческое подразделение</t>
  </si>
  <si>
    <t>Коммерческий директор текстильной промышленности</t>
  </si>
  <si>
    <t>Пресс-секретарь</t>
  </si>
  <si>
    <t>Бойматова Малика</t>
  </si>
  <si>
    <t>Отдел сотрудничества с госструктурами и документации</t>
  </si>
  <si>
    <t>Сангинзода Азиз</t>
  </si>
  <si>
    <t>Рабочий</t>
  </si>
  <si>
    <t>Охрана</t>
  </si>
  <si>
    <t>Отдел Безопасности</t>
  </si>
  <si>
    <t>Ризоев Исроилджон</t>
  </si>
  <si>
    <t>Графический дизайнер</t>
  </si>
  <si>
    <t>Вакансия временно закрыта</t>
  </si>
  <si>
    <t>Саидов Рустам</t>
  </si>
  <si>
    <t>Уборщица</t>
  </si>
  <si>
    <t>АХО</t>
  </si>
  <si>
    <t>Ниёззода Фазолат</t>
  </si>
  <si>
    <t>Служащий</t>
  </si>
  <si>
    <t>Помощник менеджера проекта</t>
  </si>
  <si>
    <t>Адиминистрация</t>
  </si>
  <si>
    <t>Центр управления платежами</t>
  </si>
  <si>
    <t>Продолжаем поиск</t>
  </si>
  <si>
    <t>Специалист по мониторингу и контрольным закупкам</t>
  </si>
  <si>
    <t>Отдел мониторинга</t>
  </si>
  <si>
    <t>Специалист разработки ПО</t>
  </si>
  <si>
    <t>Отдел разработки ПО</t>
  </si>
  <si>
    <t>Юрист</t>
  </si>
  <si>
    <t>Юридический отдел</t>
  </si>
  <si>
    <t>IT Park</t>
  </si>
  <si>
    <t>Менеджер по управлению инфраструктурой</t>
  </si>
  <si>
    <t>Отдел IT поддержки и инфрастуктурного управления</t>
  </si>
  <si>
    <t>Грузчик-упаковщик</t>
  </si>
  <si>
    <t>Участок производства гуминовых продуктов</t>
  </si>
  <si>
    <t>Азот</t>
  </si>
  <si>
    <t>Шариф Гулсифат Азизовна, Боймуродова Сулхия Акрамовна</t>
  </si>
  <si>
    <t>Оператор</t>
  </si>
  <si>
    <t>Астонаев Мухамадджон Фариджонович</t>
  </si>
  <si>
    <t>Мастер по ремонту оборудования</t>
  </si>
  <si>
    <t>Цех Аммиак</t>
  </si>
  <si>
    <t>Ходжаев Гафурмирзо Ботирмирзоевич</t>
  </si>
  <si>
    <t>Завхоз - табелщица</t>
  </si>
  <si>
    <t>Бобоев Бободжон Бозорович</t>
  </si>
  <si>
    <t>Слесарь</t>
  </si>
  <si>
    <t>Зарипов Хуршед Насурлаевич</t>
  </si>
  <si>
    <t>Оператор РВ</t>
  </si>
  <si>
    <t>Файзова Шахнозар Саидовна</t>
  </si>
  <si>
    <t>Электрик</t>
  </si>
  <si>
    <t>Цех Карбамид</t>
  </si>
  <si>
    <t>Очилов Расул Сайфиевич</t>
  </si>
  <si>
    <t xml:space="preserve">Мастер насосного отдела </t>
  </si>
  <si>
    <t>Исмадов Насрулло Нарзуллоевич</t>
  </si>
  <si>
    <t>Баротов Дилшод Кудратуллоевич</t>
  </si>
  <si>
    <t>Руководитель отдела реализации готовой продукции</t>
  </si>
  <si>
    <t>Отдела реализации готовой продукции</t>
  </si>
  <si>
    <t>Эмомов Шуҳрат Хайруллоевич</t>
  </si>
  <si>
    <t>специалист по маркетингу и развитию бизнеса  экономического отдела</t>
  </si>
  <si>
    <t>Отдел экономики</t>
  </si>
  <si>
    <t>Кабиров Фирузджон Мирзохонович</t>
  </si>
  <si>
    <t>погрузчик и разгрузчик</t>
  </si>
  <si>
    <t>Склад готовой продукции</t>
  </si>
  <si>
    <t>Миров Додарбек Толибович</t>
  </si>
  <si>
    <t>Приемник сырья и готовой продукции</t>
  </si>
  <si>
    <t>Раджабов Файзидин Нурмухамадович</t>
  </si>
  <si>
    <t>Погрузчик и разгрузчик</t>
  </si>
  <si>
    <t>Шонтиев Фатхидин Махмасаидович</t>
  </si>
  <si>
    <t>Водитель</t>
  </si>
  <si>
    <t xml:space="preserve">ВГСВ </t>
  </si>
  <si>
    <t>Собиров Муҳаммадрасул Киёмидинович</t>
  </si>
  <si>
    <t>ПВС</t>
  </si>
  <si>
    <t>Муродов Абдугафор Саиткулович</t>
  </si>
  <si>
    <t xml:space="preserve">Оператор </t>
  </si>
  <si>
    <t>Шарипов Бободжон Намозович</t>
  </si>
  <si>
    <t>Кабутов Хамрохон Бобохонович</t>
  </si>
  <si>
    <t>Электомонтер</t>
  </si>
  <si>
    <t>ЭРЦ</t>
  </si>
  <si>
    <t xml:space="preserve">Аланазаров Раджаб Бойназарович </t>
  </si>
  <si>
    <t>Давлатов Махмадраджаб Шарифович</t>
  </si>
  <si>
    <t>Оператор КМ</t>
  </si>
  <si>
    <t>Саломов Абдуллоджон Курбоналиевич</t>
  </si>
  <si>
    <t>Шоева Махинабону Абдурахмоновна</t>
  </si>
  <si>
    <t>Нуралиева Гулсара Шарифовна</t>
  </si>
  <si>
    <t>Оператор СА</t>
  </si>
  <si>
    <t>Иззатов Джамолиддин Раджабович</t>
  </si>
  <si>
    <t>Бутояров Хайрулло Пагақулович</t>
  </si>
  <si>
    <t>Лаборант</t>
  </si>
  <si>
    <t xml:space="preserve">Сан.Лаборатория </t>
  </si>
  <si>
    <t>Таварова Раҷаби Сайдаҳмадовна</t>
  </si>
  <si>
    <t>Тағойназаров Рамазон Баҳодурович</t>
  </si>
  <si>
    <t>Ахмадкулзода Рустам Ахмадкул</t>
  </si>
  <si>
    <t>Азизов Расулҷон Комилҷонович</t>
  </si>
  <si>
    <t>ДХЦ</t>
  </si>
  <si>
    <t>Исматова Ситора Раджабмуродовна</t>
  </si>
  <si>
    <t>Машинист</t>
  </si>
  <si>
    <t>Савзаева Кавгинисо Раҳмоналиевна</t>
  </si>
  <si>
    <t>Оператор АД</t>
  </si>
  <si>
    <t>Туйчиев Мамасоли Мухидинович</t>
  </si>
  <si>
    <t>КИП и А</t>
  </si>
  <si>
    <t>Ғуломов Бахтиёр Маҳмадҷонович</t>
  </si>
  <si>
    <t xml:space="preserve">Столовая </t>
  </si>
  <si>
    <t>Холова Қурбонгул Нурулоевна</t>
  </si>
  <si>
    <t>Шарипов Хушқадам Қурбоншоевич</t>
  </si>
  <si>
    <t>Сангинов Исроил Хайдаршоевич</t>
  </si>
  <si>
    <t>Тураев Аҳмадҷон Сайдалиевич</t>
  </si>
  <si>
    <t>Ҷобаҷокунанда ва Молпечонанда</t>
  </si>
  <si>
    <t>Вохидова Ҳидоят Ҷаборовна</t>
  </si>
  <si>
    <t>Маҳмадиев Раҳматулло Сунатуллоевич</t>
  </si>
  <si>
    <t>Каримов Дустмурод Бекмирзоевич</t>
  </si>
  <si>
    <t>Шарифзода Саидо Ҳасан</t>
  </si>
  <si>
    <t>Саъдуллоев Некруз Амонуллоевич</t>
  </si>
  <si>
    <t>Оператор СЖА</t>
  </si>
  <si>
    <t>Сатторова Сумая Санговна</t>
  </si>
  <si>
    <t>Закиров Зариф Бобокалонович</t>
  </si>
  <si>
    <t>Трансп.цех</t>
  </si>
  <si>
    <t>Зарипов Хуршед Латифович</t>
  </si>
  <si>
    <t>Бурхонов Саидшариф Тешаевич</t>
  </si>
  <si>
    <t>Нач.смены</t>
  </si>
  <si>
    <t xml:space="preserve">Ибрагимо Баҳодур Ҷунайдуллоевич </t>
  </si>
  <si>
    <t>Назаров Ҳидоят Ҷаборовна</t>
  </si>
  <si>
    <t>Маҳмадёров Маҳмаднаби Амирхонович</t>
  </si>
  <si>
    <t>Оператор СД</t>
  </si>
  <si>
    <t>Саидов Сулаймон Маҳмадшарифович</t>
  </si>
  <si>
    <t>Сварщик</t>
  </si>
  <si>
    <t>РМЦ</t>
  </si>
  <si>
    <t>Хоҷаев Муҳаммад Ғафурмирзоевич</t>
  </si>
  <si>
    <t>Дилангези Шеравган</t>
  </si>
  <si>
    <t>Зоиров Воҳидҷон Кенҷабоевич</t>
  </si>
  <si>
    <t>Сатторов Холмирзо Саидович</t>
  </si>
  <si>
    <t>Мирзоева Гулизор Султоновна</t>
  </si>
  <si>
    <t>Оператор ВМАР</t>
  </si>
  <si>
    <t>Нуралиев Ҷаҳонгир Шарифович</t>
  </si>
  <si>
    <t>Сафарализода Муҳаммадҷон</t>
  </si>
  <si>
    <t>Иғболов Нуроншо Назаршоевич</t>
  </si>
  <si>
    <t>Аҷиков Иброҳии Қурбоналиевич</t>
  </si>
  <si>
    <t>Асоев Ғиёсиддин Маҳмадҷонович</t>
  </si>
  <si>
    <t>Саломзода Рустам Қурбонали</t>
  </si>
  <si>
    <t>Рустамов Сунатулло Султонович</t>
  </si>
  <si>
    <t xml:space="preserve">Раҷабзода Рухшонаи Шералӣ </t>
  </si>
  <si>
    <t>Орипов Абдураҳим Журакузиевич</t>
  </si>
  <si>
    <t>Ғаниев Мухтадин Қудратович</t>
  </si>
  <si>
    <t>Негматов Қаҳрамон Негматович</t>
  </si>
  <si>
    <t>Сафаров Холмирзо Ёрхонович</t>
  </si>
  <si>
    <t>Раҳимов Сабзали Файзалиевич</t>
  </si>
  <si>
    <t>Раҳимова Манижа Назаршоева</t>
  </si>
  <si>
    <t>Зарипов Тоир Хуршедович</t>
  </si>
  <si>
    <t>Арабов Фарух Асламбекович</t>
  </si>
  <si>
    <t>Ибрагимов Навруз Исмоилович</t>
  </si>
  <si>
    <t>Убайдуллоева Суҳайло Собирҷоновна</t>
  </si>
  <si>
    <t>Бозоров Исламудин Имонқулович</t>
  </si>
  <si>
    <t>Транспортер</t>
  </si>
  <si>
    <t>Ғуломова Бибинисо Хусейновна</t>
  </si>
  <si>
    <t>Камелицкий Валерий Алексеевич</t>
  </si>
  <si>
    <t>Муминов Акмалҷон Саидович</t>
  </si>
  <si>
    <t>Саидов Сунатулло Маҳмашарифович</t>
  </si>
  <si>
    <t>Аюбов Шерали Файзалиевич</t>
  </si>
  <si>
    <t>Асоев Убайдуллох Шодихонович</t>
  </si>
  <si>
    <t xml:space="preserve">Довлотов Саидмурод Розикович </t>
  </si>
  <si>
    <t xml:space="preserve">Хасанова Мафтуна Шодиевна </t>
  </si>
  <si>
    <t>Мед.пункт</t>
  </si>
  <si>
    <t>Каримова Насиба Хасановна</t>
  </si>
  <si>
    <t>Ёров Абдулхаким Абдугаффорович</t>
  </si>
  <si>
    <t>Давятов Азизулло Исматович</t>
  </si>
  <si>
    <t>Умарзода Сухайли Рустам</t>
  </si>
  <si>
    <t>Орипова Нигинамо Махмадуллоевна</t>
  </si>
  <si>
    <t>Распредительница молока</t>
  </si>
  <si>
    <t>Пирова Мукаддас Сайфиддиновна</t>
  </si>
  <si>
    <t>Салимбеков Сухроб Додарбекович</t>
  </si>
  <si>
    <t>Аминов Саидчон Мусофирович</t>
  </si>
  <si>
    <t>Холиков Мухмадкарим Рахимович</t>
  </si>
  <si>
    <t>Сафаров Илхомчон Идимадович</t>
  </si>
  <si>
    <t>Юсупов Давлатманд Мухидинович</t>
  </si>
  <si>
    <t>Пекарь</t>
  </si>
  <si>
    <t xml:space="preserve">Сталовая </t>
  </si>
  <si>
    <t>Низомова Зуҳро Раджабовна</t>
  </si>
  <si>
    <t>Ғафоров Шаҳром Ҳабибуллоевич</t>
  </si>
  <si>
    <t>Пираков Қодирали Ҷамшедович</t>
  </si>
  <si>
    <t>Раҳимов Нурали Файзалиевич</t>
  </si>
  <si>
    <t>Раҷабов Улуғбек Боймадович</t>
  </si>
  <si>
    <t>Исмоилов Дилшод Валиевич</t>
  </si>
  <si>
    <t>ЦЭС</t>
  </si>
  <si>
    <t>Салимов Худойдод Шералиевич</t>
  </si>
  <si>
    <t xml:space="preserve">Специалист </t>
  </si>
  <si>
    <t>Отд.Глв.Энергетика</t>
  </si>
  <si>
    <t>Саиджоатова Хуршеда Мустафоқуловна</t>
  </si>
  <si>
    <t>Кателщик</t>
  </si>
  <si>
    <t>Нусратов Юсуф Бобохонович</t>
  </si>
  <si>
    <t>Салихов Аюбҷон Яқубович</t>
  </si>
  <si>
    <t>Гулонова Фируза Музафаровна</t>
  </si>
  <si>
    <t>Одилов Ҳабибулло Бозорбойевич</t>
  </si>
  <si>
    <t>Зав.мед.пункта</t>
  </si>
  <si>
    <t>Шарифов Джама Шоинович</t>
  </si>
  <si>
    <t>Раҳматшозода Асомиддин Раҳматшо</t>
  </si>
  <si>
    <t>Маҳмадшоева Малика Раҳматшоевна</t>
  </si>
  <si>
    <t>Одинаев Салимҷон Шералиевич</t>
  </si>
  <si>
    <t>Абдулҳақов Раҳмонҷон Шоимардонович</t>
  </si>
  <si>
    <t>Муродова Гулрухсор Ёрмаҳмадовна</t>
  </si>
  <si>
    <t>Исматов Хабибулла Сафарович</t>
  </si>
  <si>
    <t>Давлатов Ибодулло Сафарович</t>
  </si>
  <si>
    <t>Азизов Дустмурод Саидович</t>
  </si>
  <si>
    <t>Турсунов Садриддин Чориевич</t>
  </si>
  <si>
    <t>Шамсов Караматулло Исматович</t>
  </si>
  <si>
    <t>Давлатов Сафарали Мамасамдович</t>
  </si>
  <si>
    <t>Озеленительница</t>
  </si>
  <si>
    <t>Ризоева Шаҳноза Турахоновна</t>
  </si>
  <si>
    <t>Ҳабибуллоева Савронби Джурахоновна</t>
  </si>
  <si>
    <t>Токарь</t>
  </si>
  <si>
    <t>Ҳасанов Абубакр Фазлидинович</t>
  </si>
  <si>
    <t>Саидмуродов Хуршед Исуфович</t>
  </si>
  <si>
    <t>Ҳусейнов Нурали Миралиевич</t>
  </si>
  <si>
    <t>Ҳакимов Маҳмурод Аҳмадович</t>
  </si>
  <si>
    <t>Акрамов Ёқуб Саидҷонович</t>
  </si>
  <si>
    <t>Табельщица</t>
  </si>
  <si>
    <t>Цес</t>
  </si>
  <si>
    <t>Мавлудаи Одинаҳмад</t>
  </si>
  <si>
    <t>Раҳмонов Муҳаммад Муҳидинович</t>
  </si>
  <si>
    <t>Алимов Салмон Нурович</t>
  </si>
  <si>
    <t>Чотов Алаберди Тавкиевич</t>
  </si>
  <si>
    <t>Муминов Мустафо Маҳмудович</t>
  </si>
  <si>
    <t>Ведущий специалист по заработной плате</t>
  </si>
  <si>
    <t>Управление</t>
  </si>
  <si>
    <t xml:space="preserve">Маҳмадалиева Омина Муродалиевна </t>
  </si>
  <si>
    <t>Неофициальный</t>
  </si>
  <si>
    <t>Инженер</t>
  </si>
  <si>
    <t>АСУ</t>
  </si>
  <si>
    <t>Сафаров Исмоил Бобоназарович</t>
  </si>
  <si>
    <t xml:space="preserve">Лаборант </t>
  </si>
  <si>
    <t>Производство</t>
  </si>
  <si>
    <t>Композит Т.А.</t>
  </si>
  <si>
    <t xml:space="preserve">Исмонзода Эрадж Исмон </t>
  </si>
  <si>
    <t xml:space="preserve">Машинист подъемного крана </t>
  </si>
  <si>
    <t>Идиев Зокир Бозорович</t>
  </si>
  <si>
    <t>Начальник службы ОТ и ТБ</t>
  </si>
  <si>
    <t>Администрация</t>
  </si>
  <si>
    <t>Шозедов Хушдил Нафасшоевич</t>
  </si>
  <si>
    <t>Медсестра</t>
  </si>
  <si>
    <t xml:space="preserve">Административно хозяйственный отдел </t>
  </si>
  <si>
    <t>Гулова Зулайхо Зайниддиновна</t>
  </si>
  <si>
    <t>Начальник службы безопасности</t>
  </si>
  <si>
    <t>Служба безопасности</t>
  </si>
  <si>
    <t>Назаров Толибджон Меглиевич</t>
  </si>
  <si>
    <t>Оператор "Winder"</t>
  </si>
  <si>
    <t>Зоиров Фарҳод Давлятович</t>
  </si>
  <si>
    <t>Оператор "Liner"</t>
  </si>
  <si>
    <t>Абдулвадудов Рустам</t>
  </si>
  <si>
    <t>Мирзоев Роман</t>
  </si>
  <si>
    <t>Ҳабибов Муҳиддин</t>
  </si>
  <si>
    <t>КОЛИЧЕСТВО</t>
  </si>
  <si>
    <t>Количество кандидатов на собес.</t>
  </si>
  <si>
    <t>ФИО
 КОНТАКТЫ</t>
  </si>
  <si>
    <t>Акиа Авесто Автоматив Индастри</t>
  </si>
  <si>
    <t>Офис менеджер</t>
  </si>
  <si>
    <t>Проведено собеседование с кандидатами продолжается поиск</t>
  </si>
  <si>
    <t>Инспектор ОТК и ОКК</t>
  </si>
  <si>
    <t>IT-Граффический дизайнер</t>
  </si>
  <si>
    <t>Автомалярщики</t>
  </si>
  <si>
    <t>Бахибеков Радион Тоҳирович, Абдуллоев Эмомали Сайкамолович, Қаландарбеков Мубориз Холдорбекович, Асоев Ҳошим Қосимович</t>
  </si>
  <si>
    <t>Отобранные специалисты ждут когда начнется работа в производстве. Продолжаем поиск.</t>
  </si>
  <si>
    <t>Сварщики</t>
  </si>
  <si>
    <t>Исматов Ҳусниддин Фазлиддинович, Азизов Муҳаммадалӣ Ҷамшедович, Раджабов Сафарали Тагомуродович, Ермалаев  Игорь Дмитриевич</t>
  </si>
  <si>
    <t>Плотник</t>
  </si>
  <si>
    <t>Шарипов Хуршед Худойдодович, Сияҳаков Саидумар Искандарович</t>
  </si>
  <si>
    <t>Проведено собеседование с кандидатами.  Продолжается поиск</t>
  </si>
  <si>
    <t>Ирматов Тимур Тоҳирович, Муминов Шухрат Зайнутдинович, Мизробзода Абдуқаюм</t>
  </si>
  <si>
    <t>Ҳайдаров Насимҷон Бозоралиевич, Ширинзода Умар Саймурод, Холзода Қурбоналии Абдулқосим</t>
  </si>
  <si>
    <t>Назаров Темур Худойназарович, Қосимов Исмоил Исматуллоевич, Муродзода Ҳасани Ҳомидҷон</t>
  </si>
  <si>
    <t>Мерҷанов Исматулло Убайдуллоевич, Шарипов Хуршед Худойдодович, Заҳуров Муборакшоҳ Мамадёрович</t>
  </si>
  <si>
    <t xml:space="preserve">Инспектор после продажной линии </t>
  </si>
  <si>
    <t>Абдусаидов Махмадисо Махмадносирович</t>
  </si>
  <si>
    <t>Автоэлектрики</t>
  </si>
  <si>
    <t>Мамадиев Рақиб Қадамович</t>
  </si>
  <si>
    <t>Плотники</t>
  </si>
  <si>
    <t>Гулов Иброҳим Шамсиддинович, Соҳибназаров Одил Олимович</t>
  </si>
  <si>
    <t>Техник-механики</t>
  </si>
  <si>
    <t xml:space="preserve">Монтажники салона </t>
  </si>
  <si>
    <t>Автокарщик</t>
  </si>
  <si>
    <t>Склад</t>
  </si>
  <si>
    <t>Отобранный специалист ждут когда начнется работа в производстве. Продолжаем поиск.</t>
  </si>
  <si>
    <t>Торговый представитель</t>
  </si>
  <si>
    <t>Отдел продаж</t>
  </si>
  <si>
    <t>Мармари</t>
  </si>
  <si>
    <t>Один кандидат на стажировке</t>
  </si>
  <si>
    <t>Доставщик</t>
  </si>
  <si>
    <t>Один из кандидатов на стажировке с 22.06.2024, идет дальнейший отбор</t>
  </si>
  <si>
    <t>Специалист по закупу</t>
  </si>
  <si>
    <t>Отдел закупа и международной логистики</t>
  </si>
  <si>
    <t>Главный инженер</t>
  </si>
  <si>
    <t>Убойный цех птицы (7км)</t>
  </si>
  <si>
    <t>Инженер холодильных установок</t>
  </si>
  <si>
    <t>Примечания</t>
  </si>
  <si>
    <t>Руководство</t>
  </si>
  <si>
    <t>Технический отдел</t>
  </si>
  <si>
    <t>Главный бухгалтер</t>
  </si>
  <si>
    <t>ҶДММ "Композит Т.А. "</t>
  </si>
  <si>
    <t>Администратсия</t>
  </si>
  <si>
    <t>Инженер по ОТ и ТБ</t>
  </si>
  <si>
    <t>Уборшица</t>
  </si>
  <si>
    <t>Ватанова Саъно Пировна</t>
  </si>
  <si>
    <t>приняли</t>
  </si>
  <si>
    <t>Горный инженер</t>
  </si>
  <si>
    <t>Отдел геолого-маркшейдерских работ</t>
  </si>
  <si>
    <t>Азия Кемикал</t>
  </si>
  <si>
    <t>1)Матлабджон Норов
2) Фармонов Хасанбой
3)Бобоев Рофеъчон
4) Курбоншо Раматшоев</t>
  </si>
  <si>
    <t>Маркшейдер</t>
  </si>
  <si>
    <t>1) Кадамалиев Акмал
2)Азизмуродов Шамсулло</t>
  </si>
  <si>
    <t>Главный специалист отдела работ с государственными органами</t>
  </si>
  <si>
    <t>Отдел работ с государственными органами</t>
  </si>
  <si>
    <t>Нусратуллоев Маҳмадулло</t>
  </si>
  <si>
    <t>Ботурходжаев Эрадж</t>
  </si>
  <si>
    <t>контролер</t>
  </si>
  <si>
    <t>Контрольно-ревизионный отдел</t>
  </si>
  <si>
    <t>Сити Кард</t>
  </si>
  <si>
    <t>Икромов Бердихон</t>
  </si>
  <si>
    <t>Хошоков Хакиаллох</t>
  </si>
  <si>
    <t>Сити карт</t>
  </si>
  <si>
    <t>контрольно-ревизионный отдел</t>
  </si>
  <si>
    <t>Хошоков Ҳақиаллоҳ</t>
  </si>
  <si>
    <t>ведущий специалист  по кадровому администрированию</t>
  </si>
  <si>
    <t>Отдел HR</t>
  </si>
  <si>
    <t>Филиззот</t>
  </si>
  <si>
    <t>Алямова Меҳрангез</t>
  </si>
  <si>
    <t>Шафёр</t>
  </si>
  <si>
    <t>Отдел снабжения и логистики</t>
  </si>
  <si>
    <t>Арабов Муҳаммад</t>
  </si>
  <si>
    <t>Руководитель сектора</t>
  </si>
  <si>
    <t>Сектор секретного делопроизводства</t>
  </si>
  <si>
    <t>Миров Рустам</t>
  </si>
  <si>
    <t>Руководитель отдела</t>
  </si>
  <si>
    <t>Отдел транспорта и оборудования</t>
  </si>
  <si>
    <t>Бобоев Зафар</t>
  </si>
  <si>
    <t>Отдел геодезии и маркшейдерия</t>
  </si>
  <si>
    <t>Рустамов Шамсулло</t>
  </si>
  <si>
    <t>Отдел бухгалтерии</t>
  </si>
  <si>
    <t>Саидов Мухаммад</t>
  </si>
  <si>
    <t xml:space="preserve">Умаров Мираҳмад, Пирназаров Шарифхон </t>
  </si>
  <si>
    <t>Вакансии закрыты</t>
  </si>
  <si>
    <t>Советник Директора</t>
  </si>
  <si>
    <t>Содиқов Мусайриддин</t>
  </si>
  <si>
    <t>Технический Директор</t>
  </si>
  <si>
    <t>Ҳасанов Муҳаммадзариф</t>
  </si>
  <si>
    <t>Инженер - геолог</t>
  </si>
  <si>
    <t>Отдел геологии</t>
  </si>
  <si>
    <t>Толибов Хакимчон</t>
  </si>
  <si>
    <t>16.фев.24</t>
  </si>
  <si>
    <t>14.май.24</t>
  </si>
  <si>
    <t>Шофёр</t>
  </si>
  <si>
    <t>27.май.24</t>
  </si>
  <si>
    <t>Взрывник</t>
  </si>
  <si>
    <t>КМ Муосир</t>
  </si>
  <si>
    <t>Бобоев Ҷамолиддин Зайнуллоевич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</si>
</sst>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"/>
    <numFmt numFmtId="165" formatCode="d\.m\.yyyy"/>
  </numFmts>
  <fonts count="23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0"/>
      <color theme="1"/>
      <name val="Arial"/>
      <scheme val="minor"/>
    </font>
    <font>
      <sz val="12"/>
      <color rgb="FF1F1F1F"/>
      <name val="Inherit"/>
    </font>
    <font>
      <b/>
      <sz val="12"/>
      <color rgb="FF000000"/>
      <name val="Arial"/>
    </font>
    <font>
      <sz val="12"/>
      <color theme="1"/>
      <name val="Arial"/>
    </font>
    <font>
      <sz val="12"/>
      <color rgb="FF000000"/>
      <name val="Arial"/>
    </font>
    <font>
      <sz val="11"/>
      <color rgb="FF000000"/>
      <name val="&quot;Palatino Linotype&quot;"/>
    </font>
    <font>
      <sz val="12"/>
      <color theme="1"/>
      <name val="Arial"/>
      <scheme val="minor"/>
    </font>
    <font>
      <sz val="11"/>
      <color rgb="FF000000"/>
      <name val="Times New Roman"/>
    </font>
    <font>
      <sz val="10"/>
      <color theme="1"/>
      <name val="Times New Roman"/>
    </font>
    <font>
      <sz val="10"/>
      <color theme="1"/>
      <name val="Arial"/>
    </font>
    <font>
      <b/>
      <sz val="12"/>
      <color theme="1"/>
      <name val="Arial"/>
    </font>
    <font>
      <sz val="9"/>
      <color rgb="FF1F1F1F"/>
      <name val="&quot;Google Sans&quot;"/>
    </font>
    <font>
      <sz val="10"/>
      <color rgb="FF1F1F1F"/>
      <name val="&quot;Google Sans&quot;"/>
    </font>
    <font>
      <sz val="12"/>
      <color theme="1"/>
      <name val="Palatino Linotype"/>
    </font>
    <font>
      <sz val="10"/>
      <color rgb="FF000000"/>
      <name val="Arial"/>
    </font>
    <font>
      <sz val="12"/>
      <color rgb="FF1F1F1F"/>
      <name val="Google Sans"/>
    </font>
    <font>
      <sz val="14"/>
      <color theme="1"/>
      <name val="Times New Roman"/>
    </font>
    <font>
      <sz val="12"/>
      <color rgb="FF1F1F1F"/>
      <name val="&quot;Google Sans&quot;"/>
    </font>
    <font>
      <sz val="14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164" fontId="2" fillId="0" borderId="4" xfId="0" applyNumberFormat="1" applyFont="1" applyBorder="1"/>
    <xf numFmtId="0" fontId="2" fillId="0" borderId="4" xfId="0" applyFont="1" applyBorder="1"/>
    <xf numFmtId="0" fontId="2" fillId="0" borderId="6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164" fontId="2" fillId="0" borderId="3" xfId="0" applyNumberFormat="1" applyFont="1" applyBorder="1"/>
    <xf numFmtId="0" fontId="5" fillId="3" borderId="0" xfId="0" applyFont="1" applyFill="1" applyAlignment="1">
      <alignment horizontal="left" wrapText="1"/>
    </xf>
    <xf numFmtId="164" fontId="2" fillId="0" borderId="2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 wrapText="1"/>
    </xf>
    <xf numFmtId="0" fontId="4" fillId="0" borderId="7" xfId="0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13" fillId="0" borderId="0" xfId="0" applyFont="1"/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7" fillId="0" borderId="11" xfId="0" applyFont="1" applyBorder="1" applyAlignment="1">
      <alignment horizontal="center" wrapText="1"/>
    </xf>
    <xf numFmtId="164" fontId="7" fillId="0" borderId="11" xfId="0" applyNumberFormat="1" applyFont="1" applyBorder="1" applyAlignment="1">
      <alignment horizontal="center" wrapText="1"/>
    </xf>
    <xf numFmtId="0" fontId="17" fillId="0" borderId="11" xfId="0" applyFont="1" applyBorder="1" applyAlignment="1">
      <alignment vertical="top" wrapText="1"/>
    </xf>
    <xf numFmtId="0" fontId="7" fillId="0" borderId="3" xfId="0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164" fontId="7" fillId="0" borderId="12" xfId="0" applyNumberFormat="1" applyFont="1" applyBorder="1" applyAlignment="1">
      <alignment horizontal="center" wrapText="1"/>
    </xf>
    <xf numFmtId="0" fontId="3" fillId="0" borderId="3" xfId="0" applyFont="1" applyBorder="1"/>
    <xf numFmtId="0" fontId="13" fillId="0" borderId="11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164" fontId="13" fillId="0" borderId="12" xfId="0" applyNumberFormat="1" applyFont="1" applyBorder="1" applyAlignment="1">
      <alignment horizontal="center"/>
    </xf>
    <xf numFmtId="0" fontId="18" fillId="0" borderId="7" xfId="0" applyFont="1" applyBorder="1" applyAlignment="1">
      <alignment horizontal="right"/>
    </xf>
    <xf numFmtId="164" fontId="18" fillId="0" borderId="14" xfId="0" applyNumberFormat="1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4" xfId="0" applyFont="1" applyBorder="1"/>
    <xf numFmtId="0" fontId="18" fillId="0" borderId="14" xfId="0" applyFont="1" applyBorder="1" applyAlignment="1">
      <alignment horizontal="right"/>
    </xf>
    <xf numFmtId="165" fontId="18" fillId="0" borderId="14" xfId="0" applyNumberFormat="1" applyFont="1" applyBorder="1" applyAlignment="1">
      <alignment horizontal="right"/>
    </xf>
    <xf numFmtId="0" fontId="8" fillId="0" borderId="15" xfId="0" applyFont="1" applyBorder="1" applyAlignment="1">
      <alignment horizontal="center"/>
    </xf>
    <xf numFmtId="0" fontId="18" fillId="0" borderId="13" xfId="0" applyFont="1" applyBorder="1" applyAlignment="1">
      <alignment horizontal="right"/>
    </xf>
    <xf numFmtId="164" fontId="18" fillId="0" borderId="16" xfId="0" applyNumberFormat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6" xfId="0" applyFont="1" applyBorder="1"/>
    <xf numFmtId="0" fontId="18" fillId="0" borderId="16" xfId="0" applyFont="1" applyBorder="1" applyAlignment="1">
      <alignment horizontal="right"/>
    </xf>
    <xf numFmtId="165" fontId="18" fillId="0" borderId="16" xfId="0" applyNumberFormat="1" applyFont="1" applyBorder="1" applyAlignment="1">
      <alignment horizontal="right"/>
    </xf>
    <xf numFmtId="0" fontId="19" fillId="4" borderId="3" xfId="0" applyFont="1" applyFill="1" applyBorder="1" applyAlignment="1">
      <alignment horizontal="center"/>
    </xf>
    <xf numFmtId="165" fontId="7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wrapText="1"/>
    </xf>
    <xf numFmtId="0" fontId="7" fillId="4" borderId="3" xfId="0" applyFont="1" applyFill="1" applyBorder="1" applyAlignment="1">
      <alignment horizontal="center"/>
    </xf>
    <xf numFmtId="0" fontId="20" fillId="0" borderId="3" xfId="0" applyFont="1" applyBorder="1"/>
    <xf numFmtId="0" fontId="7" fillId="0" borderId="12" xfId="0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49" fontId="14" fillId="2" borderId="7" xfId="0" applyNumberFormat="1" applyFont="1" applyFill="1" applyBorder="1" applyAlignment="1">
      <alignment horizontal="center"/>
    </xf>
    <xf numFmtId="49" fontId="14" fillId="2" borderId="7" xfId="0" applyNumberFormat="1" applyFont="1" applyFill="1" applyBorder="1" applyAlignment="1">
      <alignment horizontal="center" wrapText="1"/>
    </xf>
    <xf numFmtId="164" fontId="7" fillId="0" borderId="7" xfId="0" applyNumberFormat="1" applyFont="1" applyBorder="1" applyAlignment="1">
      <alignment horizontal="center" wrapText="1"/>
    </xf>
    <xf numFmtId="0" fontId="21" fillId="4" borderId="0" xfId="0" applyFont="1" applyFill="1" applyAlignment="1">
      <alignment horizontal="center" vertical="center"/>
    </xf>
    <xf numFmtId="165" fontId="7" fillId="0" borderId="7" xfId="0" applyNumberFormat="1" applyFont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1" fillId="4" borderId="7" xfId="0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8" fillId="4" borderId="0" xfId="0" applyFont="1" applyFill="1" applyAlignment="1">
      <alignment horizontal="center"/>
    </xf>
    <xf numFmtId="0" fontId="22" fillId="0" borderId="7" xfId="0" applyFont="1" applyBorder="1"/>
    <xf numFmtId="0" fontId="7" fillId="0" borderId="7" xfId="0" applyFont="1" applyBorder="1" applyAlignment="1">
      <alignment horizontal="center" vertical="center"/>
    </xf>
    <xf numFmtId="0" fontId="22" fillId="0" borderId="0" xfId="0" applyFont="1"/>
    <xf numFmtId="0" fontId="8" fillId="0" borderId="14" xfId="0" applyFont="1" applyBorder="1" applyAlignment="1">
      <alignment horizontal="center"/>
    </xf>
  </cellXfs>
  <cellStyles count="1">
    <cellStyle name="Обычный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Строй Центр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"/>
  <sheetViews>
    <sheetView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3" width="31" customWidth="1"/>
    <col min="4" max="4" width="33.7109375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4" width="25.42578125" customWidth="1"/>
    <col min="15" max="15" width="31.7109375" customWidth="1"/>
  </cols>
  <sheetData>
    <row r="1" spans="1:16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6" ht="30.75" customHeight="1">
      <c r="A2" s="3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>
        <v>45338</v>
      </c>
      <c r="H2" s="5">
        <v>45433</v>
      </c>
      <c r="I2" s="4">
        <f t="shared" ref="I2:I4" si="0">H2-G2</f>
        <v>95</v>
      </c>
      <c r="J2" s="4">
        <v>10</v>
      </c>
      <c r="K2" s="4">
        <v>5</v>
      </c>
      <c r="L2" s="4">
        <v>1</v>
      </c>
      <c r="M2" s="3" t="s">
        <v>20</v>
      </c>
      <c r="N2" s="3"/>
      <c r="O2" s="3" t="s">
        <v>21</v>
      </c>
    </row>
    <row r="3" spans="1:16" ht="27.75" customHeight="1">
      <c r="A3" s="6">
        <f t="shared" ref="A3:A17" si="1">A2+1</f>
        <v>2</v>
      </c>
      <c r="B3" s="7" t="s">
        <v>15</v>
      </c>
      <c r="C3" s="4" t="s">
        <v>16</v>
      </c>
      <c r="D3" s="7" t="s">
        <v>22</v>
      </c>
      <c r="E3" s="7" t="s">
        <v>23</v>
      </c>
      <c r="F3" s="7" t="s">
        <v>19</v>
      </c>
      <c r="G3" s="8">
        <v>45336</v>
      </c>
      <c r="H3" s="8">
        <v>45450</v>
      </c>
      <c r="I3" s="7">
        <f t="shared" si="0"/>
        <v>114</v>
      </c>
      <c r="J3" s="7">
        <v>1</v>
      </c>
      <c r="K3" s="7">
        <v>1</v>
      </c>
      <c r="L3" s="6">
        <v>1</v>
      </c>
      <c r="M3" s="6" t="s">
        <v>24</v>
      </c>
      <c r="N3" s="6"/>
      <c r="O3" s="6" t="s">
        <v>21</v>
      </c>
    </row>
    <row r="4" spans="1:16" ht="28.5" customHeight="1">
      <c r="A4" s="6">
        <f t="shared" si="1"/>
        <v>3</v>
      </c>
      <c r="B4" s="7" t="s">
        <v>25</v>
      </c>
      <c r="C4" s="4" t="s">
        <v>16</v>
      </c>
      <c r="D4" s="7" t="s">
        <v>26</v>
      </c>
      <c r="E4" s="7" t="s">
        <v>27</v>
      </c>
      <c r="F4" s="7" t="s">
        <v>19</v>
      </c>
      <c r="G4" s="8">
        <v>45378</v>
      </c>
      <c r="H4" s="8">
        <v>45474</v>
      </c>
      <c r="I4" s="7">
        <f t="shared" si="0"/>
        <v>96</v>
      </c>
      <c r="J4" s="7">
        <v>3</v>
      </c>
      <c r="K4" s="7">
        <v>3</v>
      </c>
      <c r="L4" s="6">
        <v>3</v>
      </c>
      <c r="M4" s="6"/>
      <c r="N4" s="6"/>
      <c r="O4" s="6" t="s">
        <v>21</v>
      </c>
    </row>
    <row r="5" spans="1:16" ht="31.5">
      <c r="A5" s="6">
        <f t="shared" si="1"/>
        <v>4</v>
      </c>
      <c r="B5" s="7" t="s">
        <v>25</v>
      </c>
      <c r="C5" s="4" t="s">
        <v>16</v>
      </c>
      <c r="D5" s="7" t="s">
        <v>28</v>
      </c>
      <c r="E5" s="7" t="s">
        <v>29</v>
      </c>
      <c r="F5" s="7" t="s">
        <v>19</v>
      </c>
      <c r="G5" s="8">
        <v>45391</v>
      </c>
      <c r="H5" s="7"/>
      <c r="I5" s="7"/>
      <c r="J5" s="7">
        <v>3</v>
      </c>
      <c r="K5" s="7">
        <v>2</v>
      </c>
      <c r="L5" s="6">
        <v>1</v>
      </c>
      <c r="M5" s="6"/>
      <c r="N5" s="6"/>
      <c r="O5" s="6" t="s">
        <v>21</v>
      </c>
    </row>
    <row r="6" spans="1:16" ht="31.5">
      <c r="A6" s="6">
        <f t="shared" si="1"/>
        <v>5</v>
      </c>
      <c r="B6" s="7" t="s">
        <v>25</v>
      </c>
      <c r="C6" s="4" t="s">
        <v>16</v>
      </c>
      <c r="D6" s="7" t="s">
        <v>30</v>
      </c>
      <c r="E6" s="7" t="s">
        <v>29</v>
      </c>
      <c r="F6" s="7" t="s">
        <v>19</v>
      </c>
      <c r="G6" s="8">
        <v>45391</v>
      </c>
      <c r="H6" s="8">
        <v>45593</v>
      </c>
      <c r="I6" s="7">
        <f t="shared" ref="I6:I9" si="2">H6-G6</f>
        <v>202</v>
      </c>
      <c r="J6" s="7"/>
      <c r="K6" s="7">
        <v>1</v>
      </c>
      <c r="L6" s="6"/>
      <c r="M6" s="6"/>
      <c r="N6" s="6"/>
      <c r="O6" s="6" t="s">
        <v>21</v>
      </c>
    </row>
    <row r="7" spans="1:16" ht="30" customHeight="1">
      <c r="A7" s="6">
        <f t="shared" si="1"/>
        <v>6</v>
      </c>
      <c r="B7" s="7" t="s">
        <v>15</v>
      </c>
      <c r="C7" s="4" t="s">
        <v>16</v>
      </c>
      <c r="D7" s="7" t="s">
        <v>31</v>
      </c>
      <c r="E7" s="7" t="s">
        <v>27</v>
      </c>
      <c r="F7" s="7" t="s">
        <v>19</v>
      </c>
      <c r="G7" s="8">
        <v>45439</v>
      </c>
      <c r="H7" s="8">
        <v>45588</v>
      </c>
      <c r="I7" s="7">
        <f t="shared" si="2"/>
        <v>149</v>
      </c>
      <c r="J7" s="7">
        <v>1</v>
      </c>
      <c r="K7" s="7">
        <v>1</v>
      </c>
      <c r="L7" s="6"/>
      <c r="M7" s="6" t="s">
        <v>32</v>
      </c>
      <c r="N7" s="6"/>
      <c r="O7" s="6" t="s">
        <v>21</v>
      </c>
    </row>
    <row r="8" spans="1:16" ht="31.5">
      <c r="A8" s="6">
        <f t="shared" si="1"/>
        <v>7</v>
      </c>
      <c r="B8" s="7" t="s">
        <v>15</v>
      </c>
      <c r="C8" s="4" t="s">
        <v>16</v>
      </c>
      <c r="D8" s="7" t="s">
        <v>15</v>
      </c>
      <c r="E8" s="7" t="s">
        <v>33</v>
      </c>
      <c r="F8" s="7" t="s">
        <v>19</v>
      </c>
      <c r="G8" s="8">
        <v>45483</v>
      </c>
      <c r="H8" s="8">
        <v>45509</v>
      </c>
      <c r="I8" s="7">
        <f t="shared" si="2"/>
        <v>26</v>
      </c>
      <c r="J8" s="7">
        <v>1</v>
      </c>
      <c r="K8" s="7">
        <v>2</v>
      </c>
      <c r="L8" s="6">
        <v>1</v>
      </c>
      <c r="M8" s="6" t="s">
        <v>34</v>
      </c>
      <c r="N8" s="6"/>
      <c r="O8" s="6" t="s">
        <v>21</v>
      </c>
    </row>
    <row r="9" spans="1:16" ht="25.5" customHeight="1">
      <c r="A9" s="6">
        <f t="shared" si="1"/>
        <v>8</v>
      </c>
      <c r="B9" s="7" t="s">
        <v>35</v>
      </c>
      <c r="C9" s="4" t="s">
        <v>16</v>
      </c>
      <c r="D9" s="7" t="s">
        <v>36</v>
      </c>
      <c r="E9" s="7" t="s">
        <v>37</v>
      </c>
      <c r="F9" s="7" t="s">
        <v>19</v>
      </c>
      <c r="G9" s="8">
        <v>45536</v>
      </c>
      <c r="H9" s="8">
        <v>45597</v>
      </c>
      <c r="I9" s="7">
        <f t="shared" si="2"/>
        <v>61</v>
      </c>
      <c r="J9" s="7">
        <v>1</v>
      </c>
      <c r="K9" s="7">
        <v>5</v>
      </c>
      <c r="L9" s="6">
        <v>1</v>
      </c>
      <c r="M9" s="6" t="s">
        <v>38</v>
      </c>
      <c r="N9" s="6"/>
      <c r="O9" s="6" t="s">
        <v>21</v>
      </c>
    </row>
    <row r="10" spans="1:16" ht="24" customHeight="1">
      <c r="A10" s="6">
        <f t="shared" si="1"/>
        <v>9</v>
      </c>
      <c r="B10" s="7" t="s">
        <v>15</v>
      </c>
      <c r="C10" s="4" t="s">
        <v>16</v>
      </c>
      <c r="D10" s="9" t="s">
        <v>39</v>
      </c>
      <c r="E10" s="7" t="s">
        <v>23</v>
      </c>
      <c r="F10" s="7" t="s">
        <v>19</v>
      </c>
      <c r="G10" s="8">
        <v>45572</v>
      </c>
      <c r="H10" s="8"/>
      <c r="I10" s="7"/>
      <c r="J10" s="9">
        <v>1</v>
      </c>
      <c r="K10" s="9"/>
      <c r="L10" s="9"/>
      <c r="M10" s="9"/>
      <c r="N10" s="9"/>
      <c r="O10" s="9" t="s">
        <v>40</v>
      </c>
    </row>
    <row r="11" spans="1:16" ht="23.25" customHeight="1">
      <c r="A11" s="6">
        <f t="shared" si="1"/>
        <v>10</v>
      </c>
      <c r="B11" s="7" t="s">
        <v>35</v>
      </c>
      <c r="C11" s="4" t="s">
        <v>16</v>
      </c>
      <c r="D11" s="7" t="s">
        <v>36</v>
      </c>
      <c r="E11" s="7" t="s">
        <v>37</v>
      </c>
      <c r="F11" s="7" t="s">
        <v>19</v>
      </c>
      <c r="G11" s="8">
        <v>45608</v>
      </c>
      <c r="H11" s="8">
        <v>45638</v>
      </c>
      <c r="I11" s="7">
        <f t="shared" ref="I11:I12" si="3">H11-G11</f>
        <v>30</v>
      </c>
      <c r="J11" s="7">
        <v>1</v>
      </c>
      <c r="K11" s="7">
        <v>3</v>
      </c>
      <c r="L11" s="6">
        <v>1</v>
      </c>
      <c r="M11" s="6" t="s">
        <v>41</v>
      </c>
      <c r="N11" s="6"/>
      <c r="O11" s="6" t="s">
        <v>21</v>
      </c>
    </row>
    <row r="12" spans="1:16" ht="24.75" customHeight="1">
      <c r="A12" s="6">
        <f t="shared" si="1"/>
        <v>11</v>
      </c>
      <c r="B12" s="7" t="s">
        <v>35</v>
      </c>
      <c r="C12" s="4" t="s">
        <v>16</v>
      </c>
      <c r="D12" s="9" t="s">
        <v>42</v>
      </c>
      <c r="E12" s="7" t="s">
        <v>43</v>
      </c>
      <c r="F12" s="7" t="s">
        <v>19</v>
      </c>
      <c r="G12" s="8">
        <v>45610</v>
      </c>
      <c r="H12" s="8">
        <v>45639</v>
      </c>
      <c r="I12" s="7">
        <f t="shared" si="3"/>
        <v>29</v>
      </c>
      <c r="J12" s="9">
        <v>1</v>
      </c>
      <c r="K12" s="7">
        <v>1</v>
      </c>
      <c r="L12" s="9">
        <v>1</v>
      </c>
      <c r="M12" s="9" t="s">
        <v>44</v>
      </c>
      <c r="N12" s="9"/>
      <c r="O12" s="6" t="s">
        <v>21</v>
      </c>
    </row>
    <row r="13" spans="1:16" ht="23.25" customHeight="1">
      <c r="A13" s="6">
        <f t="shared" si="1"/>
        <v>12</v>
      </c>
      <c r="B13" s="7" t="s">
        <v>45</v>
      </c>
      <c r="C13" s="4" t="s">
        <v>16</v>
      </c>
      <c r="D13" s="10" t="s">
        <v>46</v>
      </c>
      <c r="E13" s="7" t="s">
        <v>47</v>
      </c>
      <c r="F13" s="10" t="s">
        <v>48</v>
      </c>
      <c r="G13" s="8">
        <v>45632</v>
      </c>
      <c r="H13" s="8"/>
      <c r="I13" s="7"/>
      <c r="J13" s="10">
        <v>1</v>
      </c>
      <c r="K13" s="10">
        <v>1</v>
      </c>
      <c r="L13" s="10"/>
      <c r="M13" s="10"/>
      <c r="N13" s="10"/>
      <c r="O13" s="10" t="s">
        <v>49</v>
      </c>
    </row>
    <row r="14" spans="1:16" ht="29.25" customHeight="1">
      <c r="A14" s="6">
        <f t="shared" si="1"/>
        <v>13</v>
      </c>
      <c r="B14" s="7" t="s">
        <v>15</v>
      </c>
      <c r="C14" s="4" t="s">
        <v>16</v>
      </c>
      <c r="D14" s="7" t="s">
        <v>50</v>
      </c>
      <c r="E14" s="10" t="s">
        <v>51</v>
      </c>
      <c r="F14" s="10" t="s">
        <v>48</v>
      </c>
      <c r="G14" s="8">
        <v>45632</v>
      </c>
      <c r="H14" s="8"/>
      <c r="I14" s="7"/>
      <c r="J14" s="10">
        <v>1</v>
      </c>
      <c r="K14" s="10">
        <v>1</v>
      </c>
      <c r="L14" s="10"/>
      <c r="M14" s="10"/>
      <c r="N14" s="10"/>
      <c r="O14" s="10" t="s">
        <v>49</v>
      </c>
      <c r="P14" s="11"/>
    </row>
    <row r="15" spans="1:16" ht="25.5" customHeight="1">
      <c r="A15" s="6">
        <f t="shared" si="1"/>
        <v>14</v>
      </c>
      <c r="B15" s="7" t="s">
        <v>15</v>
      </c>
      <c r="C15" s="4" t="s">
        <v>16</v>
      </c>
      <c r="D15" s="10" t="s">
        <v>52</v>
      </c>
      <c r="E15" s="10" t="s">
        <v>53</v>
      </c>
      <c r="F15" s="10" t="s">
        <v>48</v>
      </c>
      <c r="G15" s="8">
        <v>45632</v>
      </c>
      <c r="H15" s="8"/>
      <c r="I15" s="7"/>
      <c r="J15" s="10">
        <v>1</v>
      </c>
      <c r="K15" s="10"/>
      <c r="L15" s="10"/>
      <c r="M15" s="10"/>
      <c r="N15" s="10"/>
      <c r="O15" s="10" t="s">
        <v>49</v>
      </c>
    </row>
    <row r="16" spans="1:16" ht="24.75" customHeight="1">
      <c r="A16" s="6">
        <f t="shared" si="1"/>
        <v>15</v>
      </c>
      <c r="B16" s="7" t="s">
        <v>15</v>
      </c>
      <c r="C16" s="4" t="s">
        <v>16</v>
      </c>
      <c r="D16" s="10" t="s">
        <v>54</v>
      </c>
      <c r="E16" s="10" t="s">
        <v>55</v>
      </c>
      <c r="F16" s="10" t="s">
        <v>56</v>
      </c>
      <c r="G16" s="8">
        <v>45632</v>
      </c>
      <c r="H16" s="8"/>
      <c r="I16" s="7"/>
      <c r="J16" s="10">
        <v>1</v>
      </c>
      <c r="K16" s="10"/>
      <c r="L16" s="10"/>
      <c r="M16" s="10"/>
      <c r="N16" s="10"/>
      <c r="O16" s="10" t="s">
        <v>49</v>
      </c>
    </row>
    <row r="17" spans="1:15" ht="31.5">
      <c r="A17" s="6">
        <f t="shared" si="1"/>
        <v>16</v>
      </c>
      <c r="B17" s="7" t="s">
        <v>15</v>
      </c>
      <c r="C17" s="4" t="s">
        <v>16</v>
      </c>
      <c r="D17" s="7" t="s">
        <v>57</v>
      </c>
      <c r="E17" s="7" t="s">
        <v>58</v>
      </c>
      <c r="F17" s="10" t="s">
        <v>56</v>
      </c>
      <c r="G17" s="8">
        <v>45632</v>
      </c>
      <c r="H17" s="8"/>
      <c r="I17" s="7"/>
      <c r="J17" s="10">
        <v>1</v>
      </c>
      <c r="K17" s="10"/>
      <c r="L17" s="10"/>
      <c r="M17" s="10"/>
      <c r="N17" s="10"/>
      <c r="O17" s="10" t="s">
        <v>49</v>
      </c>
    </row>
  </sheetData>
  <autoFilter ref="A1:O17" xr:uid="{00000000-0009-0000-0000-000000000000}"/>
  <dataValidations count="2">
    <dataValidation type="list" allowBlank="1" showErrorMessage="1" sqref="C2:C17" xr:uid="{00000000-0002-0000-0000-000000000000}">
      <formula1>"Официальный,Неофициальный"</formula1>
    </dataValidation>
    <dataValidation type="list" allowBlank="1" showErrorMessage="1" sqref="B2:B17" xr:uid="{00000000-0002-0000-00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33"/>
  <sheetViews>
    <sheetView topLeftCell="A94" workbookViewId="0">
      <selection activeCell="D135" sqref="D135"/>
    </sheetView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34" customWidth="1"/>
    <col min="14" max="14" width="31.7109375" customWidth="1"/>
  </cols>
  <sheetData>
    <row r="1" spans="1:15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5" ht="37.5" customHeight="1">
      <c r="A2" s="12">
        <v>1</v>
      </c>
      <c r="B2" s="13" t="s">
        <v>15</v>
      </c>
      <c r="C2" s="13" t="s">
        <v>16</v>
      </c>
      <c r="D2" s="14" t="s">
        <v>59</v>
      </c>
      <c r="E2" s="15" t="s">
        <v>60</v>
      </c>
      <c r="F2" s="13" t="s">
        <v>61</v>
      </c>
      <c r="G2" s="16">
        <v>45413</v>
      </c>
      <c r="H2" s="16">
        <v>45418</v>
      </c>
      <c r="I2" s="13">
        <f t="shared" ref="I2:I133" si="0">H2-G2</f>
        <v>5</v>
      </c>
      <c r="J2" s="17">
        <v>2</v>
      </c>
      <c r="K2" s="17">
        <v>4</v>
      </c>
      <c r="L2" s="17">
        <v>2</v>
      </c>
      <c r="M2" s="18" t="s">
        <v>62</v>
      </c>
      <c r="N2" s="12" t="s">
        <v>21</v>
      </c>
    </row>
    <row r="3" spans="1:15" ht="27.75" customHeight="1">
      <c r="A3" s="6">
        <f t="shared" ref="A3:A133" si="1">A2+1</f>
        <v>2</v>
      </c>
      <c r="B3" s="7" t="s">
        <v>35</v>
      </c>
      <c r="C3" s="7" t="s">
        <v>16</v>
      </c>
      <c r="D3" s="19" t="s">
        <v>63</v>
      </c>
      <c r="E3" s="20" t="s">
        <v>60</v>
      </c>
      <c r="F3" s="7" t="s">
        <v>61</v>
      </c>
      <c r="G3" s="21">
        <v>45413</v>
      </c>
      <c r="H3" s="21">
        <v>45419</v>
      </c>
      <c r="I3" s="7">
        <f t="shared" si="0"/>
        <v>6</v>
      </c>
      <c r="J3" s="19">
        <v>1</v>
      </c>
      <c r="K3" s="19">
        <v>1</v>
      </c>
      <c r="L3" s="19">
        <v>1</v>
      </c>
      <c r="M3" s="20" t="s">
        <v>64</v>
      </c>
      <c r="N3" s="6" t="s">
        <v>21</v>
      </c>
    </row>
    <row r="4" spans="1:15" ht="28.5" customHeight="1">
      <c r="A4" s="6">
        <f t="shared" si="1"/>
        <v>3</v>
      </c>
      <c r="B4" s="7" t="s">
        <v>35</v>
      </c>
      <c r="C4" s="7" t="s">
        <v>16</v>
      </c>
      <c r="D4" s="19" t="s">
        <v>65</v>
      </c>
      <c r="E4" s="19" t="s">
        <v>66</v>
      </c>
      <c r="F4" s="7" t="s">
        <v>61</v>
      </c>
      <c r="G4" s="21">
        <v>45413</v>
      </c>
      <c r="H4" s="21">
        <v>45413</v>
      </c>
      <c r="I4" s="7">
        <f t="shared" si="0"/>
        <v>0</v>
      </c>
      <c r="J4" s="19">
        <v>1</v>
      </c>
      <c r="K4" s="19">
        <v>1</v>
      </c>
      <c r="L4" s="19">
        <v>1</v>
      </c>
      <c r="M4" s="20" t="s">
        <v>67</v>
      </c>
      <c r="N4" s="6" t="s">
        <v>21</v>
      </c>
    </row>
    <row r="5" spans="1:15">
      <c r="A5" s="6">
        <f t="shared" si="1"/>
        <v>4</v>
      </c>
      <c r="B5" s="7" t="s">
        <v>15</v>
      </c>
      <c r="C5" s="7" t="s">
        <v>16</v>
      </c>
      <c r="D5" s="19" t="s">
        <v>68</v>
      </c>
      <c r="E5" s="19" t="s">
        <v>66</v>
      </c>
      <c r="F5" s="7" t="s">
        <v>61</v>
      </c>
      <c r="G5" s="21">
        <v>45413</v>
      </c>
      <c r="H5" s="21">
        <v>45419</v>
      </c>
      <c r="I5" s="7">
        <f t="shared" si="0"/>
        <v>6</v>
      </c>
      <c r="J5" s="19">
        <v>1</v>
      </c>
      <c r="K5" s="19">
        <v>1</v>
      </c>
      <c r="L5" s="19">
        <v>1</v>
      </c>
      <c r="M5" s="20" t="s">
        <v>69</v>
      </c>
      <c r="N5" s="6" t="s">
        <v>21</v>
      </c>
    </row>
    <row r="6" spans="1:15">
      <c r="A6" s="6">
        <f t="shared" si="1"/>
        <v>5</v>
      </c>
      <c r="B6" s="7" t="s">
        <v>35</v>
      </c>
      <c r="C6" s="7" t="s">
        <v>16</v>
      </c>
      <c r="D6" s="19" t="s">
        <v>70</v>
      </c>
      <c r="E6" s="19" t="s">
        <v>66</v>
      </c>
      <c r="F6" s="7" t="s">
        <v>61</v>
      </c>
      <c r="G6" s="21">
        <v>45413</v>
      </c>
      <c r="H6" s="21">
        <v>45419</v>
      </c>
      <c r="I6" s="7">
        <f t="shared" si="0"/>
        <v>6</v>
      </c>
      <c r="J6" s="19">
        <v>1</v>
      </c>
      <c r="K6" s="19">
        <v>1</v>
      </c>
      <c r="L6" s="19">
        <v>1</v>
      </c>
      <c r="M6" s="20" t="s">
        <v>71</v>
      </c>
      <c r="N6" s="6" t="s">
        <v>21</v>
      </c>
    </row>
    <row r="7" spans="1:15" ht="27" customHeight="1">
      <c r="A7" s="6">
        <f t="shared" si="1"/>
        <v>6</v>
      </c>
      <c r="B7" s="7" t="s">
        <v>35</v>
      </c>
      <c r="C7" s="7" t="s">
        <v>16</v>
      </c>
      <c r="D7" s="19" t="s">
        <v>72</v>
      </c>
      <c r="E7" s="19" t="s">
        <v>66</v>
      </c>
      <c r="F7" s="7" t="s">
        <v>61</v>
      </c>
      <c r="G7" s="21">
        <v>45413</v>
      </c>
      <c r="H7" s="21">
        <v>45426</v>
      </c>
      <c r="I7" s="7">
        <f t="shared" si="0"/>
        <v>13</v>
      </c>
      <c r="J7" s="19">
        <v>1</v>
      </c>
      <c r="K7" s="19">
        <v>1</v>
      </c>
      <c r="L7" s="19">
        <v>1</v>
      </c>
      <c r="M7" s="20" t="s">
        <v>73</v>
      </c>
      <c r="N7" s="6" t="s">
        <v>21</v>
      </c>
    </row>
    <row r="8" spans="1:15">
      <c r="A8" s="6">
        <f t="shared" si="1"/>
        <v>7</v>
      </c>
      <c r="B8" s="7" t="s">
        <v>35</v>
      </c>
      <c r="C8" s="7" t="s">
        <v>16</v>
      </c>
      <c r="D8" s="19" t="s">
        <v>74</v>
      </c>
      <c r="E8" s="19" t="s">
        <v>75</v>
      </c>
      <c r="F8" s="7" t="s">
        <v>61</v>
      </c>
      <c r="G8" s="21">
        <v>45413</v>
      </c>
      <c r="H8" s="21">
        <v>45413</v>
      </c>
      <c r="I8" s="7">
        <f t="shared" si="0"/>
        <v>0</v>
      </c>
      <c r="J8" s="19">
        <v>1</v>
      </c>
      <c r="K8" s="19">
        <v>1</v>
      </c>
      <c r="L8" s="19">
        <v>1</v>
      </c>
      <c r="M8" s="19" t="s">
        <v>76</v>
      </c>
      <c r="N8" s="6" t="s">
        <v>21</v>
      </c>
    </row>
    <row r="9" spans="1:15" ht="25.5" customHeight="1">
      <c r="A9" s="6">
        <f t="shared" si="1"/>
        <v>8</v>
      </c>
      <c r="B9" s="7" t="s">
        <v>35</v>
      </c>
      <c r="C9" s="7" t="s">
        <v>16</v>
      </c>
      <c r="D9" s="20" t="s">
        <v>77</v>
      </c>
      <c r="E9" s="19" t="s">
        <v>75</v>
      </c>
      <c r="F9" s="7" t="s">
        <v>61</v>
      </c>
      <c r="G9" s="21">
        <v>45413</v>
      </c>
      <c r="H9" s="21">
        <v>45419</v>
      </c>
      <c r="I9" s="7">
        <f t="shared" si="0"/>
        <v>6</v>
      </c>
      <c r="J9" s="19">
        <v>1</v>
      </c>
      <c r="K9" s="19">
        <v>1</v>
      </c>
      <c r="L9" s="19">
        <v>1</v>
      </c>
      <c r="M9" s="20" t="s">
        <v>78</v>
      </c>
      <c r="N9" s="6" t="s">
        <v>21</v>
      </c>
    </row>
    <row r="10" spans="1:15" ht="24" customHeight="1">
      <c r="A10" s="6">
        <f t="shared" si="1"/>
        <v>9</v>
      </c>
      <c r="B10" s="7" t="s">
        <v>35</v>
      </c>
      <c r="C10" s="7" t="s">
        <v>16</v>
      </c>
      <c r="D10" s="19" t="s">
        <v>70</v>
      </c>
      <c r="E10" s="19" t="s">
        <v>75</v>
      </c>
      <c r="F10" s="7" t="s">
        <v>61</v>
      </c>
      <c r="G10" s="21">
        <v>45413</v>
      </c>
      <c r="H10" s="21">
        <v>45432</v>
      </c>
      <c r="I10" s="7">
        <f t="shared" si="0"/>
        <v>19</v>
      </c>
      <c r="J10" s="19">
        <v>1</v>
      </c>
      <c r="K10" s="19">
        <v>1</v>
      </c>
      <c r="L10" s="19">
        <v>1</v>
      </c>
      <c r="M10" s="20" t="s">
        <v>79</v>
      </c>
      <c r="N10" s="6" t="s">
        <v>21</v>
      </c>
    </row>
    <row r="11" spans="1:15" ht="30" customHeight="1">
      <c r="A11" s="6">
        <f t="shared" si="1"/>
        <v>10</v>
      </c>
      <c r="B11" s="7" t="s">
        <v>25</v>
      </c>
      <c r="C11" s="7" t="s">
        <v>16</v>
      </c>
      <c r="D11" s="19" t="s">
        <v>80</v>
      </c>
      <c r="E11" s="19" t="s">
        <v>81</v>
      </c>
      <c r="F11" s="7" t="s">
        <v>61</v>
      </c>
      <c r="G11" s="21">
        <v>45413</v>
      </c>
      <c r="H11" s="21">
        <v>45413</v>
      </c>
      <c r="I11" s="7">
        <f t="shared" si="0"/>
        <v>0</v>
      </c>
      <c r="J11" s="19">
        <v>1</v>
      </c>
      <c r="K11" s="19">
        <v>1</v>
      </c>
      <c r="L11" s="19">
        <v>1</v>
      </c>
      <c r="M11" s="20" t="s">
        <v>82</v>
      </c>
      <c r="N11" s="6" t="s">
        <v>21</v>
      </c>
    </row>
    <row r="12" spans="1:15" ht="27" customHeight="1">
      <c r="A12" s="6">
        <f t="shared" si="1"/>
        <v>11</v>
      </c>
      <c r="B12" s="7" t="s">
        <v>15</v>
      </c>
      <c r="C12" s="7" t="s">
        <v>16</v>
      </c>
      <c r="D12" s="19" t="s">
        <v>83</v>
      </c>
      <c r="E12" s="19" t="s">
        <v>84</v>
      </c>
      <c r="F12" s="7" t="s">
        <v>61</v>
      </c>
      <c r="G12" s="21">
        <v>45413</v>
      </c>
      <c r="H12" s="21">
        <v>45433</v>
      </c>
      <c r="I12" s="7">
        <f t="shared" si="0"/>
        <v>20</v>
      </c>
      <c r="J12" s="19">
        <v>1</v>
      </c>
      <c r="K12" s="19">
        <v>1</v>
      </c>
      <c r="L12" s="19">
        <v>1</v>
      </c>
      <c r="M12" s="20" t="s">
        <v>85</v>
      </c>
      <c r="N12" s="6" t="s">
        <v>21</v>
      </c>
    </row>
    <row r="13" spans="1:15" ht="22.5" customHeight="1">
      <c r="A13" s="6">
        <f t="shared" si="1"/>
        <v>12</v>
      </c>
      <c r="B13" s="7" t="s">
        <v>35</v>
      </c>
      <c r="C13" s="7" t="s">
        <v>16</v>
      </c>
      <c r="D13" s="19" t="s">
        <v>86</v>
      </c>
      <c r="E13" s="19" t="s">
        <v>87</v>
      </c>
      <c r="F13" s="7" t="s">
        <v>61</v>
      </c>
      <c r="G13" s="21">
        <v>45413</v>
      </c>
      <c r="H13" s="21">
        <v>45413</v>
      </c>
      <c r="I13" s="7">
        <f t="shared" si="0"/>
        <v>0</v>
      </c>
      <c r="J13" s="19">
        <v>1</v>
      </c>
      <c r="K13" s="19">
        <v>1</v>
      </c>
      <c r="L13" s="19">
        <v>1</v>
      </c>
      <c r="M13" s="20" t="s">
        <v>88</v>
      </c>
      <c r="N13" s="6" t="s">
        <v>21</v>
      </c>
    </row>
    <row r="14" spans="1:15" ht="36.75" customHeight="1">
      <c r="A14" s="6">
        <f t="shared" si="1"/>
        <v>13</v>
      </c>
      <c r="B14" s="7" t="s">
        <v>35</v>
      </c>
      <c r="C14" s="7" t="s">
        <v>16</v>
      </c>
      <c r="D14" s="19" t="s">
        <v>89</v>
      </c>
      <c r="E14" s="19" t="s">
        <v>87</v>
      </c>
      <c r="F14" s="7" t="s">
        <v>61</v>
      </c>
      <c r="G14" s="21">
        <v>45413</v>
      </c>
      <c r="H14" s="21">
        <v>45415</v>
      </c>
      <c r="I14" s="7">
        <f t="shared" si="0"/>
        <v>2</v>
      </c>
      <c r="J14" s="19">
        <v>1</v>
      </c>
      <c r="K14" s="19">
        <v>1</v>
      </c>
      <c r="L14" s="19">
        <v>1</v>
      </c>
      <c r="M14" s="20" t="s">
        <v>90</v>
      </c>
      <c r="N14" s="6" t="s">
        <v>21</v>
      </c>
      <c r="O14" s="11"/>
    </row>
    <row r="15" spans="1:15" ht="22.5" customHeight="1">
      <c r="A15" s="6">
        <f t="shared" si="1"/>
        <v>14</v>
      </c>
      <c r="B15" s="7" t="s">
        <v>35</v>
      </c>
      <c r="C15" s="7" t="s">
        <v>16</v>
      </c>
      <c r="D15" s="19" t="s">
        <v>91</v>
      </c>
      <c r="E15" s="19" t="s">
        <v>87</v>
      </c>
      <c r="F15" s="7" t="s">
        <v>61</v>
      </c>
      <c r="G15" s="21">
        <v>45413</v>
      </c>
      <c r="H15" s="21">
        <v>45436</v>
      </c>
      <c r="I15" s="7">
        <f t="shared" si="0"/>
        <v>23</v>
      </c>
      <c r="J15" s="19">
        <v>1</v>
      </c>
      <c r="K15" s="19">
        <v>1</v>
      </c>
      <c r="L15" s="19">
        <v>1</v>
      </c>
      <c r="M15" s="20" t="s">
        <v>92</v>
      </c>
      <c r="N15" s="6" t="s">
        <v>21</v>
      </c>
    </row>
    <row r="16" spans="1:15" ht="31.5">
      <c r="A16" s="6">
        <f t="shared" si="1"/>
        <v>15</v>
      </c>
      <c r="B16" s="7" t="s">
        <v>35</v>
      </c>
      <c r="C16" s="7" t="s">
        <v>16</v>
      </c>
      <c r="D16" s="19" t="s">
        <v>93</v>
      </c>
      <c r="E16" s="19" t="s">
        <v>94</v>
      </c>
      <c r="F16" s="7" t="s">
        <v>61</v>
      </c>
      <c r="G16" s="21">
        <v>45413</v>
      </c>
      <c r="H16" s="21">
        <v>45420</v>
      </c>
      <c r="I16" s="7">
        <f t="shared" si="0"/>
        <v>7</v>
      </c>
      <c r="J16" s="19">
        <v>1</v>
      </c>
      <c r="K16" s="19">
        <v>1</v>
      </c>
      <c r="L16" s="19">
        <v>1</v>
      </c>
      <c r="M16" s="20" t="s">
        <v>95</v>
      </c>
      <c r="N16" s="6" t="s">
        <v>21</v>
      </c>
    </row>
    <row r="17" spans="1:14" ht="31.5">
      <c r="A17" s="6">
        <f t="shared" si="1"/>
        <v>16</v>
      </c>
      <c r="B17" s="7" t="s">
        <v>35</v>
      </c>
      <c r="C17" s="7" t="s">
        <v>16</v>
      </c>
      <c r="D17" s="19" t="s">
        <v>70</v>
      </c>
      <c r="E17" s="19" t="s">
        <v>96</v>
      </c>
      <c r="F17" s="7" t="s">
        <v>61</v>
      </c>
      <c r="G17" s="21">
        <v>45413</v>
      </c>
      <c r="H17" s="21">
        <v>45425</v>
      </c>
      <c r="I17" s="7">
        <f t="shared" si="0"/>
        <v>12</v>
      </c>
      <c r="J17" s="19">
        <v>1</v>
      </c>
      <c r="K17" s="19">
        <v>1</v>
      </c>
      <c r="L17" s="19">
        <v>1</v>
      </c>
      <c r="M17" s="20" t="s">
        <v>97</v>
      </c>
      <c r="N17" s="6" t="s">
        <v>21</v>
      </c>
    </row>
    <row r="18" spans="1:14">
      <c r="A18" s="6">
        <f t="shared" si="1"/>
        <v>17</v>
      </c>
      <c r="B18" s="7" t="s">
        <v>35</v>
      </c>
      <c r="C18" s="7" t="s">
        <v>16</v>
      </c>
      <c r="D18" s="19" t="s">
        <v>98</v>
      </c>
      <c r="E18" s="19" t="s">
        <v>96</v>
      </c>
      <c r="F18" s="7" t="s">
        <v>61</v>
      </c>
      <c r="G18" s="21">
        <v>45413</v>
      </c>
      <c r="H18" s="21">
        <v>45427</v>
      </c>
      <c r="I18" s="7">
        <f t="shared" si="0"/>
        <v>14</v>
      </c>
      <c r="J18" s="19">
        <v>1</v>
      </c>
      <c r="K18" s="19">
        <v>1</v>
      </c>
      <c r="L18" s="19">
        <v>1</v>
      </c>
      <c r="M18" s="20" t="s">
        <v>99</v>
      </c>
      <c r="N18" s="6" t="s">
        <v>21</v>
      </c>
    </row>
    <row r="19" spans="1:14">
      <c r="A19" s="6">
        <f t="shared" si="1"/>
        <v>18</v>
      </c>
      <c r="B19" s="7" t="s">
        <v>35</v>
      </c>
      <c r="C19" s="7" t="s">
        <v>16</v>
      </c>
      <c r="D19" s="19" t="s">
        <v>70</v>
      </c>
      <c r="E19" s="19" t="s">
        <v>96</v>
      </c>
      <c r="F19" s="7" t="s">
        <v>61</v>
      </c>
      <c r="G19" s="21">
        <v>45413</v>
      </c>
      <c r="H19" s="21">
        <v>45427</v>
      </c>
      <c r="I19" s="7">
        <f t="shared" si="0"/>
        <v>14</v>
      </c>
      <c r="J19" s="19">
        <v>1</v>
      </c>
      <c r="K19" s="19">
        <v>1</v>
      </c>
      <c r="L19" s="19">
        <v>1</v>
      </c>
      <c r="M19" s="20" t="s">
        <v>100</v>
      </c>
      <c r="N19" s="6" t="s">
        <v>21</v>
      </c>
    </row>
    <row r="20" spans="1:14" ht="31.5">
      <c r="A20" s="6">
        <f t="shared" si="1"/>
        <v>19</v>
      </c>
      <c r="B20" s="7" t="s">
        <v>35</v>
      </c>
      <c r="C20" s="7"/>
      <c r="D20" s="19" t="s">
        <v>101</v>
      </c>
      <c r="E20" s="19" t="s">
        <v>102</v>
      </c>
      <c r="F20" s="7" t="s">
        <v>61</v>
      </c>
      <c r="G20" s="21">
        <v>45413</v>
      </c>
      <c r="H20" s="21">
        <v>45429</v>
      </c>
      <c r="I20" s="7">
        <f t="shared" si="0"/>
        <v>16</v>
      </c>
      <c r="J20" s="19">
        <v>1</v>
      </c>
      <c r="K20" s="19">
        <v>1</v>
      </c>
      <c r="L20" s="19">
        <v>1</v>
      </c>
      <c r="M20" s="20" t="s">
        <v>103</v>
      </c>
      <c r="N20" s="6" t="s">
        <v>21</v>
      </c>
    </row>
    <row r="21" spans="1:14" ht="31.5">
      <c r="A21" s="6">
        <f t="shared" si="1"/>
        <v>20</v>
      </c>
      <c r="B21" s="7" t="s">
        <v>35</v>
      </c>
      <c r="C21" s="7"/>
      <c r="D21" s="19" t="s">
        <v>74</v>
      </c>
      <c r="E21" s="19" t="s">
        <v>102</v>
      </c>
      <c r="F21" s="7" t="s">
        <v>61</v>
      </c>
      <c r="G21" s="21">
        <v>45413</v>
      </c>
      <c r="H21" s="21">
        <v>45434</v>
      </c>
      <c r="I21" s="7">
        <f t="shared" si="0"/>
        <v>21</v>
      </c>
      <c r="J21" s="19">
        <v>1</v>
      </c>
      <c r="K21" s="19">
        <v>1</v>
      </c>
      <c r="L21" s="19">
        <v>1</v>
      </c>
      <c r="M21" s="20" t="s">
        <v>104</v>
      </c>
      <c r="N21" s="6" t="s">
        <v>21</v>
      </c>
    </row>
    <row r="22" spans="1:14">
      <c r="A22" s="6">
        <f t="shared" si="1"/>
        <v>21</v>
      </c>
      <c r="B22" s="7" t="s">
        <v>35</v>
      </c>
      <c r="C22" s="7"/>
      <c r="D22" s="19" t="s">
        <v>105</v>
      </c>
      <c r="E22" s="19" t="s">
        <v>66</v>
      </c>
      <c r="F22" s="7" t="s">
        <v>61</v>
      </c>
      <c r="G22" s="21">
        <v>45446</v>
      </c>
      <c r="H22" s="21">
        <v>45446</v>
      </c>
      <c r="I22" s="7">
        <f t="shared" si="0"/>
        <v>0</v>
      </c>
      <c r="J22" s="19">
        <v>1</v>
      </c>
      <c r="K22" s="19">
        <v>1</v>
      </c>
      <c r="L22" s="19">
        <v>1</v>
      </c>
      <c r="M22" s="19" t="s">
        <v>106</v>
      </c>
      <c r="N22" s="6" t="s">
        <v>21</v>
      </c>
    </row>
    <row r="23" spans="1:14">
      <c r="A23" s="6">
        <f t="shared" si="1"/>
        <v>22</v>
      </c>
      <c r="B23" s="7" t="s">
        <v>35</v>
      </c>
      <c r="C23" s="7"/>
      <c r="D23" s="19" t="s">
        <v>42</v>
      </c>
      <c r="E23" s="19" t="s">
        <v>75</v>
      </c>
      <c r="F23" s="7" t="s">
        <v>61</v>
      </c>
      <c r="G23" s="21">
        <v>45446</v>
      </c>
      <c r="H23" s="21">
        <v>45446</v>
      </c>
      <c r="I23" s="7">
        <f t="shared" si="0"/>
        <v>0</v>
      </c>
      <c r="J23" s="19">
        <v>1</v>
      </c>
      <c r="K23" s="19">
        <v>1</v>
      </c>
      <c r="L23" s="19">
        <v>1</v>
      </c>
      <c r="M23" s="19" t="s">
        <v>107</v>
      </c>
      <c r="N23" s="6" t="s">
        <v>21</v>
      </c>
    </row>
    <row r="24" spans="1:14">
      <c r="A24" s="6">
        <f t="shared" si="1"/>
        <v>23</v>
      </c>
      <c r="B24" s="7" t="s">
        <v>35</v>
      </c>
      <c r="C24" s="7"/>
      <c r="D24" s="19" t="s">
        <v>105</v>
      </c>
      <c r="E24" s="19" t="s">
        <v>66</v>
      </c>
      <c r="F24" s="7" t="s">
        <v>61</v>
      </c>
      <c r="G24" s="21">
        <v>45446</v>
      </c>
      <c r="H24" s="21">
        <v>45446</v>
      </c>
      <c r="I24" s="7">
        <f t="shared" si="0"/>
        <v>0</v>
      </c>
      <c r="J24" s="19">
        <v>1</v>
      </c>
      <c r="K24" s="19">
        <v>1</v>
      </c>
      <c r="L24" s="19">
        <v>1</v>
      </c>
      <c r="M24" s="19" t="s">
        <v>108</v>
      </c>
      <c r="N24" s="6" t="s">
        <v>21</v>
      </c>
    </row>
    <row r="25" spans="1:14">
      <c r="A25" s="6">
        <f t="shared" si="1"/>
        <v>24</v>
      </c>
      <c r="B25" s="7" t="s">
        <v>35</v>
      </c>
      <c r="C25" s="7"/>
      <c r="D25" s="19" t="s">
        <v>109</v>
      </c>
      <c r="E25" s="19" t="s">
        <v>66</v>
      </c>
      <c r="F25" s="7" t="s">
        <v>61</v>
      </c>
      <c r="G25" s="21">
        <v>45446</v>
      </c>
      <c r="H25" s="21">
        <v>45446</v>
      </c>
      <c r="I25" s="7">
        <f t="shared" si="0"/>
        <v>0</v>
      </c>
      <c r="J25" s="19">
        <v>1</v>
      </c>
      <c r="K25" s="19">
        <v>1</v>
      </c>
      <c r="L25" s="19">
        <v>1</v>
      </c>
      <c r="M25" s="19" t="s">
        <v>110</v>
      </c>
      <c r="N25" s="6" t="s">
        <v>21</v>
      </c>
    </row>
    <row r="26" spans="1:14">
      <c r="A26" s="6">
        <f t="shared" si="1"/>
        <v>25</v>
      </c>
      <c r="B26" s="7" t="s">
        <v>35</v>
      </c>
      <c r="C26" s="7"/>
      <c r="D26" s="19" t="s">
        <v>65</v>
      </c>
      <c r="E26" s="19" t="s">
        <v>75</v>
      </c>
      <c r="F26" s="7" t="s">
        <v>61</v>
      </c>
      <c r="G26" s="21">
        <v>45446</v>
      </c>
      <c r="H26" s="21">
        <v>45446</v>
      </c>
      <c r="I26" s="7">
        <f t="shared" si="0"/>
        <v>0</v>
      </c>
      <c r="J26" s="19">
        <v>1</v>
      </c>
      <c r="K26" s="19">
        <v>1</v>
      </c>
      <c r="L26" s="19">
        <v>1</v>
      </c>
      <c r="M26" s="19" t="s">
        <v>111</v>
      </c>
      <c r="N26" s="6" t="s">
        <v>21</v>
      </c>
    </row>
    <row r="27" spans="1:14">
      <c r="A27" s="6">
        <f t="shared" si="1"/>
        <v>26</v>
      </c>
      <c r="B27" s="7" t="s">
        <v>35</v>
      </c>
      <c r="C27" s="7"/>
      <c r="D27" s="19" t="s">
        <v>112</v>
      </c>
      <c r="E27" s="19" t="s">
        <v>113</v>
      </c>
      <c r="F27" s="7" t="s">
        <v>61</v>
      </c>
      <c r="G27" s="21">
        <v>45446</v>
      </c>
      <c r="H27" s="21">
        <v>45449</v>
      </c>
      <c r="I27" s="7">
        <f t="shared" si="0"/>
        <v>3</v>
      </c>
      <c r="J27" s="19">
        <v>1</v>
      </c>
      <c r="K27" s="19">
        <v>1</v>
      </c>
      <c r="L27" s="19">
        <v>1</v>
      </c>
      <c r="M27" s="19" t="s">
        <v>114</v>
      </c>
      <c r="N27" s="6" t="s">
        <v>21</v>
      </c>
    </row>
    <row r="28" spans="1:14">
      <c r="A28" s="6">
        <f t="shared" si="1"/>
        <v>27</v>
      </c>
      <c r="B28" s="7" t="s">
        <v>35</v>
      </c>
      <c r="C28" s="7"/>
      <c r="D28" s="19" t="s">
        <v>70</v>
      </c>
      <c r="E28" s="19" t="s">
        <v>66</v>
      </c>
      <c r="F28" s="7" t="s">
        <v>61</v>
      </c>
      <c r="G28" s="21">
        <v>45446</v>
      </c>
      <c r="H28" s="21">
        <v>45449</v>
      </c>
      <c r="I28" s="7">
        <f t="shared" si="0"/>
        <v>3</v>
      </c>
      <c r="J28" s="19">
        <v>1</v>
      </c>
      <c r="K28" s="19">
        <v>1</v>
      </c>
      <c r="L28" s="19">
        <v>1</v>
      </c>
      <c r="M28" s="19" t="s">
        <v>115</v>
      </c>
      <c r="N28" s="6" t="s">
        <v>21</v>
      </c>
    </row>
    <row r="29" spans="1:14">
      <c r="A29" s="6">
        <f t="shared" si="1"/>
        <v>28</v>
      </c>
      <c r="B29" s="7" t="s">
        <v>35</v>
      </c>
      <c r="C29" s="7"/>
      <c r="D29" s="19" t="s">
        <v>109</v>
      </c>
      <c r="E29" s="19" t="s">
        <v>66</v>
      </c>
      <c r="F29" s="7" t="s">
        <v>61</v>
      </c>
      <c r="G29" s="21">
        <v>45446</v>
      </c>
      <c r="H29" s="21">
        <v>45453</v>
      </c>
      <c r="I29" s="7">
        <f t="shared" si="0"/>
        <v>7</v>
      </c>
      <c r="J29" s="19">
        <v>1</v>
      </c>
      <c r="K29" s="19">
        <v>1</v>
      </c>
      <c r="L29" s="19">
        <v>1</v>
      </c>
      <c r="M29" s="19" t="s">
        <v>116</v>
      </c>
      <c r="N29" s="6" t="s">
        <v>21</v>
      </c>
    </row>
    <row r="30" spans="1:14">
      <c r="A30" s="6">
        <f t="shared" si="1"/>
        <v>29</v>
      </c>
      <c r="B30" s="7" t="s">
        <v>35</v>
      </c>
      <c r="C30" s="7"/>
      <c r="D30" s="19" t="s">
        <v>72</v>
      </c>
      <c r="E30" s="19" t="s">
        <v>66</v>
      </c>
      <c r="F30" s="7" t="s">
        <v>61</v>
      </c>
      <c r="G30" s="21">
        <v>45446</v>
      </c>
      <c r="H30" s="21">
        <v>45453</v>
      </c>
      <c r="I30" s="7">
        <f t="shared" si="0"/>
        <v>7</v>
      </c>
      <c r="J30" s="19">
        <v>1</v>
      </c>
      <c r="K30" s="19">
        <v>1</v>
      </c>
      <c r="L30" s="19">
        <v>1</v>
      </c>
      <c r="M30" s="19" t="s">
        <v>117</v>
      </c>
      <c r="N30" s="6" t="s">
        <v>21</v>
      </c>
    </row>
    <row r="31" spans="1:14">
      <c r="A31" s="6">
        <f t="shared" si="1"/>
        <v>30</v>
      </c>
      <c r="B31" s="7" t="s">
        <v>35</v>
      </c>
      <c r="C31" s="7"/>
      <c r="D31" s="19" t="s">
        <v>42</v>
      </c>
      <c r="E31" s="19" t="s">
        <v>118</v>
      </c>
      <c r="F31" s="7" t="s">
        <v>61</v>
      </c>
      <c r="G31" s="21">
        <v>45446</v>
      </c>
      <c r="H31" s="21">
        <v>45454</v>
      </c>
      <c r="I31" s="7">
        <f t="shared" si="0"/>
        <v>8</v>
      </c>
      <c r="J31" s="19">
        <v>1</v>
      </c>
      <c r="K31" s="19">
        <v>1</v>
      </c>
      <c r="L31" s="19">
        <v>1</v>
      </c>
      <c r="M31" s="19" t="s">
        <v>119</v>
      </c>
      <c r="N31" s="6" t="s">
        <v>21</v>
      </c>
    </row>
    <row r="32" spans="1:14">
      <c r="A32" s="6">
        <f t="shared" si="1"/>
        <v>31</v>
      </c>
      <c r="B32" s="7" t="s">
        <v>35</v>
      </c>
      <c r="C32" s="7"/>
      <c r="D32" s="19" t="s">
        <v>120</v>
      </c>
      <c r="E32" s="19" t="s">
        <v>66</v>
      </c>
      <c r="F32" s="7" t="s">
        <v>61</v>
      </c>
      <c r="G32" s="21">
        <v>45446</v>
      </c>
      <c r="H32" s="21">
        <v>45461</v>
      </c>
      <c r="I32" s="7">
        <f t="shared" si="0"/>
        <v>15</v>
      </c>
      <c r="J32" s="19">
        <v>1</v>
      </c>
      <c r="K32" s="19">
        <v>1</v>
      </c>
      <c r="L32" s="19">
        <v>1</v>
      </c>
      <c r="M32" s="19" t="s">
        <v>121</v>
      </c>
      <c r="N32" s="6" t="s">
        <v>21</v>
      </c>
    </row>
    <row r="33" spans="1:14">
      <c r="A33" s="6">
        <f t="shared" si="1"/>
        <v>32</v>
      </c>
      <c r="B33" s="7" t="s">
        <v>35</v>
      </c>
      <c r="C33" s="7"/>
      <c r="D33" s="19" t="s">
        <v>122</v>
      </c>
      <c r="E33" s="19" t="s">
        <v>75</v>
      </c>
      <c r="F33" s="7" t="s">
        <v>61</v>
      </c>
      <c r="G33" s="21">
        <v>45446</v>
      </c>
      <c r="H33" s="21">
        <v>45462</v>
      </c>
      <c r="I33" s="7">
        <f t="shared" si="0"/>
        <v>16</v>
      </c>
      <c r="J33" s="19">
        <v>1</v>
      </c>
      <c r="K33" s="19">
        <v>1</v>
      </c>
      <c r="L33" s="19">
        <v>1</v>
      </c>
      <c r="M33" s="19" t="s">
        <v>123</v>
      </c>
      <c r="N33" s="6" t="s">
        <v>21</v>
      </c>
    </row>
    <row r="34" spans="1:14">
      <c r="A34" s="6">
        <f t="shared" si="1"/>
        <v>33</v>
      </c>
      <c r="B34" s="7" t="s">
        <v>35</v>
      </c>
      <c r="C34" s="7"/>
      <c r="D34" s="19" t="s">
        <v>70</v>
      </c>
      <c r="E34" s="19" t="s">
        <v>124</v>
      </c>
      <c r="F34" s="7" t="s">
        <v>61</v>
      </c>
      <c r="G34" s="21">
        <v>45446</v>
      </c>
      <c r="H34" s="21">
        <v>45463</v>
      </c>
      <c r="I34" s="7">
        <f t="shared" si="0"/>
        <v>17</v>
      </c>
      <c r="J34" s="19">
        <v>1</v>
      </c>
      <c r="K34" s="19">
        <v>1</v>
      </c>
      <c r="L34" s="19">
        <v>1</v>
      </c>
      <c r="M34" s="19" t="s">
        <v>125</v>
      </c>
      <c r="N34" s="6" t="s">
        <v>21</v>
      </c>
    </row>
    <row r="35" spans="1:14">
      <c r="A35" s="6">
        <f t="shared" si="1"/>
        <v>34</v>
      </c>
      <c r="B35" s="7" t="s">
        <v>35</v>
      </c>
      <c r="C35" s="7"/>
      <c r="D35" s="19" t="s">
        <v>42</v>
      </c>
      <c r="E35" s="19" t="s">
        <v>126</v>
      </c>
      <c r="F35" s="7" t="s">
        <v>61</v>
      </c>
      <c r="G35" s="21">
        <v>45446</v>
      </c>
      <c r="H35" s="21">
        <v>45467</v>
      </c>
      <c r="I35" s="7">
        <f t="shared" si="0"/>
        <v>21</v>
      </c>
      <c r="J35" s="19">
        <v>1</v>
      </c>
      <c r="K35" s="19">
        <v>1</v>
      </c>
      <c r="L35" s="19">
        <v>1</v>
      </c>
      <c r="M35" s="19" t="s">
        <v>127</v>
      </c>
      <c r="N35" s="6" t="s">
        <v>21</v>
      </c>
    </row>
    <row r="36" spans="1:14">
      <c r="A36" s="6">
        <f t="shared" si="1"/>
        <v>35</v>
      </c>
      <c r="B36" s="7" t="s">
        <v>35</v>
      </c>
      <c r="C36" s="7"/>
      <c r="D36" s="19" t="s">
        <v>120</v>
      </c>
      <c r="E36" s="19" t="s">
        <v>66</v>
      </c>
      <c r="F36" s="7" t="s">
        <v>61</v>
      </c>
      <c r="G36" s="21">
        <v>45446</v>
      </c>
      <c r="H36" s="21">
        <v>45467</v>
      </c>
      <c r="I36" s="7">
        <f t="shared" si="0"/>
        <v>21</v>
      </c>
      <c r="J36" s="19">
        <v>1</v>
      </c>
      <c r="K36" s="19">
        <v>1</v>
      </c>
      <c r="L36" s="19">
        <v>1</v>
      </c>
      <c r="M36" s="19" t="s">
        <v>128</v>
      </c>
      <c r="N36" s="6" t="s">
        <v>21</v>
      </c>
    </row>
    <row r="37" spans="1:14">
      <c r="A37" s="6">
        <f t="shared" si="1"/>
        <v>36</v>
      </c>
      <c r="B37" s="7" t="s">
        <v>35</v>
      </c>
      <c r="C37" s="7"/>
      <c r="D37" s="19" t="s">
        <v>70</v>
      </c>
      <c r="E37" s="19" t="s">
        <v>66</v>
      </c>
      <c r="F37" s="7" t="s">
        <v>61</v>
      </c>
      <c r="G37" s="21">
        <v>45474</v>
      </c>
      <c r="H37" s="21">
        <v>45474</v>
      </c>
      <c r="I37" s="7">
        <f t="shared" si="0"/>
        <v>0</v>
      </c>
      <c r="J37" s="19">
        <v>1</v>
      </c>
      <c r="K37" s="19">
        <v>1</v>
      </c>
      <c r="L37" s="19">
        <v>1</v>
      </c>
      <c r="M37" s="19" t="s">
        <v>129</v>
      </c>
      <c r="N37" s="6" t="s">
        <v>21</v>
      </c>
    </row>
    <row r="38" spans="1:14">
      <c r="A38" s="6">
        <f t="shared" si="1"/>
        <v>37</v>
      </c>
      <c r="B38" s="7" t="s">
        <v>35</v>
      </c>
      <c r="C38" s="7"/>
      <c r="D38" s="19" t="s">
        <v>120</v>
      </c>
      <c r="E38" s="19" t="s">
        <v>75</v>
      </c>
      <c r="F38" s="7" t="s">
        <v>61</v>
      </c>
      <c r="G38" s="21">
        <v>45474</v>
      </c>
      <c r="H38" s="21">
        <v>45474</v>
      </c>
      <c r="I38" s="7">
        <f t="shared" si="0"/>
        <v>0</v>
      </c>
      <c r="J38" s="19">
        <v>1</v>
      </c>
      <c r="K38" s="19">
        <v>1</v>
      </c>
      <c r="L38" s="19">
        <v>1</v>
      </c>
      <c r="M38" s="19" t="s">
        <v>130</v>
      </c>
      <c r="N38" s="6" t="s">
        <v>21</v>
      </c>
    </row>
    <row r="39" spans="1:14">
      <c r="A39" s="6">
        <f t="shared" si="1"/>
        <v>38</v>
      </c>
      <c r="B39" s="7" t="s">
        <v>35</v>
      </c>
      <c r="C39" s="7"/>
      <c r="D39" s="19" t="s">
        <v>131</v>
      </c>
      <c r="E39" s="19" t="s">
        <v>60</v>
      </c>
      <c r="F39" s="7" t="s">
        <v>61</v>
      </c>
      <c r="G39" s="21">
        <v>45474</v>
      </c>
      <c r="H39" s="21">
        <v>45474</v>
      </c>
      <c r="I39" s="7">
        <f t="shared" si="0"/>
        <v>0</v>
      </c>
      <c r="J39" s="19">
        <v>1</v>
      </c>
      <c r="K39" s="19">
        <v>1</v>
      </c>
      <c r="L39" s="19">
        <v>1</v>
      </c>
      <c r="M39" s="19" t="s">
        <v>132</v>
      </c>
      <c r="N39" s="6" t="s">
        <v>21</v>
      </c>
    </row>
    <row r="40" spans="1:14">
      <c r="A40" s="6">
        <f t="shared" si="1"/>
        <v>39</v>
      </c>
      <c r="B40" s="7" t="s">
        <v>35</v>
      </c>
      <c r="C40" s="7"/>
      <c r="D40" s="19" t="s">
        <v>120</v>
      </c>
      <c r="E40" s="19" t="s">
        <v>66</v>
      </c>
      <c r="F40" s="7" t="s">
        <v>61</v>
      </c>
      <c r="G40" s="21">
        <v>45474</v>
      </c>
      <c r="H40" s="21">
        <v>45475</v>
      </c>
      <c r="I40" s="7">
        <f t="shared" si="0"/>
        <v>1</v>
      </c>
      <c r="J40" s="19">
        <v>1</v>
      </c>
      <c r="K40" s="19">
        <v>1</v>
      </c>
      <c r="L40" s="19">
        <v>1</v>
      </c>
      <c r="M40" s="19" t="s">
        <v>133</v>
      </c>
      <c r="N40" s="6" t="s">
        <v>21</v>
      </c>
    </row>
    <row r="41" spans="1:14">
      <c r="A41" s="6">
        <f t="shared" si="1"/>
        <v>40</v>
      </c>
      <c r="B41" s="7" t="s">
        <v>35</v>
      </c>
      <c r="C41" s="7"/>
      <c r="D41" s="19" t="s">
        <v>70</v>
      </c>
      <c r="E41" s="19" t="s">
        <v>124</v>
      </c>
      <c r="F41" s="7" t="s">
        <v>61</v>
      </c>
      <c r="G41" s="21">
        <v>45474</v>
      </c>
      <c r="H41" s="21">
        <v>45475</v>
      </c>
      <c r="I41" s="7">
        <f t="shared" si="0"/>
        <v>1</v>
      </c>
      <c r="J41" s="19">
        <v>1</v>
      </c>
      <c r="K41" s="19">
        <v>1</v>
      </c>
      <c r="L41" s="19">
        <v>1</v>
      </c>
      <c r="M41" s="19" t="s">
        <v>134</v>
      </c>
      <c r="N41" s="6" t="s">
        <v>21</v>
      </c>
    </row>
    <row r="42" spans="1:14">
      <c r="A42" s="6">
        <f t="shared" si="1"/>
        <v>41</v>
      </c>
      <c r="B42" s="7" t="s">
        <v>35</v>
      </c>
      <c r="C42" s="7"/>
      <c r="D42" s="19" t="s">
        <v>109</v>
      </c>
      <c r="E42" s="19" t="s">
        <v>66</v>
      </c>
      <c r="F42" s="7" t="s">
        <v>61</v>
      </c>
      <c r="G42" s="21">
        <v>45474</v>
      </c>
      <c r="H42" s="21">
        <v>45476</v>
      </c>
      <c r="I42" s="7">
        <f t="shared" si="0"/>
        <v>2</v>
      </c>
      <c r="J42" s="19">
        <v>1</v>
      </c>
      <c r="K42" s="19">
        <v>1</v>
      </c>
      <c r="L42" s="19">
        <v>1</v>
      </c>
      <c r="M42" s="19" t="s">
        <v>135</v>
      </c>
      <c r="N42" s="6" t="s">
        <v>21</v>
      </c>
    </row>
    <row r="43" spans="1:14">
      <c r="A43" s="6">
        <f t="shared" si="1"/>
        <v>42</v>
      </c>
      <c r="B43" s="7" t="s">
        <v>35</v>
      </c>
      <c r="C43" s="7"/>
      <c r="D43" s="19" t="s">
        <v>72</v>
      </c>
      <c r="E43" s="19" t="s">
        <v>66</v>
      </c>
      <c r="F43" s="7" t="s">
        <v>61</v>
      </c>
      <c r="G43" s="21">
        <v>45474</v>
      </c>
      <c r="H43" s="21">
        <v>45477</v>
      </c>
      <c r="I43" s="7">
        <f t="shared" si="0"/>
        <v>3</v>
      </c>
      <c r="J43" s="19">
        <v>1</v>
      </c>
      <c r="K43" s="19">
        <v>1</v>
      </c>
      <c r="L43" s="19">
        <v>1</v>
      </c>
      <c r="M43" s="19" t="s">
        <v>136</v>
      </c>
      <c r="N43" s="6" t="s">
        <v>21</v>
      </c>
    </row>
    <row r="44" spans="1:14">
      <c r="A44" s="6">
        <f t="shared" si="1"/>
        <v>43</v>
      </c>
      <c r="B44" s="7" t="s">
        <v>35</v>
      </c>
      <c r="C44" s="7"/>
      <c r="D44" s="19" t="s">
        <v>137</v>
      </c>
      <c r="E44" s="19" t="s">
        <v>66</v>
      </c>
      <c r="F44" s="7" t="s">
        <v>61</v>
      </c>
      <c r="G44" s="21">
        <v>45474</v>
      </c>
      <c r="H44" s="21">
        <v>45478</v>
      </c>
      <c r="I44" s="7">
        <f t="shared" si="0"/>
        <v>4</v>
      </c>
      <c r="J44" s="19">
        <v>1</v>
      </c>
      <c r="K44" s="19">
        <v>1</v>
      </c>
      <c r="L44" s="19">
        <v>1</v>
      </c>
      <c r="M44" s="19" t="s">
        <v>138</v>
      </c>
      <c r="N44" s="6" t="s">
        <v>21</v>
      </c>
    </row>
    <row r="45" spans="1:14">
      <c r="A45" s="6">
        <f t="shared" si="1"/>
        <v>44</v>
      </c>
      <c r="B45" s="7" t="s">
        <v>35</v>
      </c>
      <c r="C45" s="7"/>
      <c r="D45" s="19" t="s">
        <v>70</v>
      </c>
      <c r="E45" s="19" t="s">
        <v>96</v>
      </c>
      <c r="F45" s="7" t="s">
        <v>61</v>
      </c>
      <c r="G45" s="21">
        <v>45474</v>
      </c>
      <c r="H45" s="21">
        <v>45481</v>
      </c>
      <c r="I45" s="7">
        <f t="shared" si="0"/>
        <v>7</v>
      </c>
      <c r="J45" s="19">
        <v>1</v>
      </c>
      <c r="K45" s="19">
        <v>1</v>
      </c>
      <c r="L45" s="19">
        <v>1</v>
      </c>
      <c r="M45" s="19" t="s">
        <v>139</v>
      </c>
      <c r="N45" s="6" t="s">
        <v>21</v>
      </c>
    </row>
    <row r="46" spans="1:14">
      <c r="A46" s="6">
        <f t="shared" si="1"/>
        <v>45</v>
      </c>
      <c r="B46" s="7" t="s">
        <v>35</v>
      </c>
      <c r="C46" s="7"/>
      <c r="D46" s="19" t="s">
        <v>93</v>
      </c>
      <c r="E46" s="19" t="s">
        <v>140</v>
      </c>
      <c r="F46" s="7" t="s">
        <v>61</v>
      </c>
      <c r="G46" s="21">
        <v>45474</v>
      </c>
      <c r="H46" s="21">
        <v>45482</v>
      </c>
      <c r="I46" s="7">
        <f t="shared" si="0"/>
        <v>8</v>
      </c>
      <c r="J46" s="19">
        <v>1</v>
      </c>
      <c r="K46" s="19">
        <v>1</v>
      </c>
      <c r="L46" s="19">
        <v>1</v>
      </c>
      <c r="M46" s="19" t="s">
        <v>141</v>
      </c>
      <c r="N46" s="6" t="s">
        <v>21</v>
      </c>
    </row>
    <row r="47" spans="1:14">
      <c r="A47" s="6">
        <f t="shared" si="1"/>
        <v>46</v>
      </c>
      <c r="B47" s="7" t="s">
        <v>35</v>
      </c>
      <c r="C47" s="7"/>
      <c r="D47" s="19" t="s">
        <v>70</v>
      </c>
      <c r="E47" s="19" t="s">
        <v>75</v>
      </c>
      <c r="F47" s="7" t="s">
        <v>61</v>
      </c>
      <c r="G47" s="21">
        <v>45474</v>
      </c>
      <c r="H47" s="21">
        <v>45482</v>
      </c>
      <c r="I47" s="7">
        <f t="shared" si="0"/>
        <v>8</v>
      </c>
      <c r="J47" s="19">
        <v>1</v>
      </c>
      <c r="K47" s="19">
        <v>1</v>
      </c>
      <c r="L47" s="19">
        <v>1</v>
      </c>
      <c r="M47" s="19" t="s">
        <v>142</v>
      </c>
      <c r="N47" s="6" t="s">
        <v>21</v>
      </c>
    </row>
    <row r="48" spans="1:14">
      <c r="A48" s="6">
        <f t="shared" si="1"/>
        <v>47</v>
      </c>
      <c r="B48" s="7" t="s">
        <v>35</v>
      </c>
      <c r="C48" s="7"/>
      <c r="D48" s="19" t="s">
        <v>143</v>
      </c>
      <c r="E48" s="19" t="s">
        <v>66</v>
      </c>
      <c r="F48" s="7" t="s">
        <v>61</v>
      </c>
      <c r="G48" s="21">
        <v>45474</v>
      </c>
      <c r="H48" s="21">
        <v>45483</v>
      </c>
      <c r="I48" s="7">
        <f t="shared" si="0"/>
        <v>9</v>
      </c>
      <c r="J48" s="19">
        <v>1</v>
      </c>
      <c r="K48" s="19">
        <v>1</v>
      </c>
      <c r="L48" s="19">
        <v>1</v>
      </c>
      <c r="M48" s="19" t="s">
        <v>144</v>
      </c>
      <c r="N48" s="6" t="s">
        <v>21</v>
      </c>
    </row>
    <row r="49" spans="1:14">
      <c r="A49" s="6">
        <f t="shared" si="1"/>
        <v>48</v>
      </c>
      <c r="B49" s="7" t="s">
        <v>35</v>
      </c>
      <c r="C49" s="7"/>
      <c r="D49" s="19" t="s">
        <v>86</v>
      </c>
      <c r="E49" s="19" t="s">
        <v>87</v>
      </c>
      <c r="F49" s="7" t="s">
        <v>61</v>
      </c>
      <c r="G49" s="21">
        <v>45474</v>
      </c>
      <c r="H49" s="21">
        <v>45483</v>
      </c>
      <c r="I49" s="7">
        <f t="shared" si="0"/>
        <v>9</v>
      </c>
      <c r="J49" s="19">
        <v>1</v>
      </c>
      <c r="K49" s="19">
        <v>1</v>
      </c>
      <c r="L49" s="19">
        <v>1</v>
      </c>
      <c r="M49" s="19" t="s">
        <v>145</v>
      </c>
      <c r="N49" s="6" t="s">
        <v>21</v>
      </c>
    </row>
    <row r="50" spans="1:14">
      <c r="A50" s="6">
        <f t="shared" si="1"/>
        <v>49</v>
      </c>
      <c r="B50" s="7" t="s">
        <v>35</v>
      </c>
      <c r="C50" s="7"/>
      <c r="D50" s="19" t="s">
        <v>74</v>
      </c>
      <c r="E50" s="19" t="s">
        <v>66</v>
      </c>
      <c r="F50" s="7" t="s">
        <v>61</v>
      </c>
      <c r="G50" s="21">
        <v>45474</v>
      </c>
      <c r="H50" s="21">
        <v>45483</v>
      </c>
      <c r="I50" s="7">
        <f t="shared" si="0"/>
        <v>9</v>
      </c>
      <c r="J50" s="19">
        <v>1</v>
      </c>
      <c r="K50" s="19">
        <v>1</v>
      </c>
      <c r="L50" s="19">
        <v>1</v>
      </c>
      <c r="M50" s="19" t="s">
        <v>146</v>
      </c>
      <c r="N50" s="6" t="s">
        <v>21</v>
      </c>
    </row>
    <row r="51" spans="1:14">
      <c r="A51" s="6">
        <f t="shared" si="1"/>
        <v>50</v>
      </c>
      <c r="B51" s="7" t="s">
        <v>35</v>
      </c>
      <c r="C51" s="7"/>
      <c r="D51" s="19" t="s">
        <v>147</v>
      </c>
      <c r="E51" s="19" t="s">
        <v>75</v>
      </c>
      <c r="F51" s="7" t="s">
        <v>61</v>
      </c>
      <c r="G51" s="21">
        <v>45474</v>
      </c>
      <c r="H51" s="21">
        <v>45483</v>
      </c>
      <c r="I51" s="7">
        <f t="shared" si="0"/>
        <v>9</v>
      </c>
      <c r="J51" s="19">
        <v>1</v>
      </c>
      <c r="K51" s="19">
        <v>1</v>
      </c>
      <c r="L51" s="19">
        <v>1</v>
      </c>
      <c r="M51" s="19" t="s">
        <v>148</v>
      </c>
      <c r="N51" s="6" t="s">
        <v>21</v>
      </c>
    </row>
    <row r="52" spans="1:14">
      <c r="A52" s="6">
        <f t="shared" si="1"/>
        <v>51</v>
      </c>
      <c r="B52" s="7" t="s">
        <v>35</v>
      </c>
      <c r="C52" s="7"/>
      <c r="D52" s="19" t="s">
        <v>149</v>
      </c>
      <c r="E52" s="19" t="s">
        <v>150</v>
      </c>
      <c r="F52" s="7" t="s">
        <v>61</v>
      </c>
      <c r="G52" s="21">
        <v>45474</v>
      </c>
      <c r="H52" s="21">
        <v>45484</v>
      </c>
      <c r="I52" s="7">
        <f t="shared" si="0"/>
        <v>10</v>
      </c>
      <c r="J52" s="19">
        <v>1</v>
      </c>
      <c r="K52" s="19">
        <v>1</v>
      </c>
      <c r="L52" s="19">
        <v>1</v>
      </c>
      <c r="M52" s="19" t="s">
        <v>151</v>
      </c>
      <c r="N52" s="6" t="s">
        <v>21</v>
      </c>
    </row>
    <row r="53" spans="1:14">
      <c r="A53" s="6">
        <f t="shared" si="1"/>
        <v>52</v>
      </c>
      <c r="B53" s="7" t="s">
        <v>35</v>
      </c>
      <c r="C53" s="7"/>
      <c r="D53" s="19" t="s">
        <v>42</v>
      </c>
      <c r="E53" s="19" t="s">
        <v>66</v>
      </c>
      <c r="F53" s="7" t="s">
        <v>61</v>
      </c>
      <c r="G53" s="21">
        <v>45474</v>
      </c>
      <c r="H53" s="21">
        <v>45488</v>
      </c>
      <c r="I53" s="7">
        <f t="shared" si="0"/>
        <v>14</v>
      </c>
      <c r="J53" s="19">
        <v>1</v>
      </c>
      <c r="K53" s="19">
        <v>1</v>
      </c>
      <c r="L53" s="19">
        <v>1</v>
      </c>
      <c r="M53" s="19" t="s">
        <v>152</v>
      </c>
      <c r="N53" s="6" t="s">
        <v>21</v>
      </c>
    </row>
    <row r="54" spans="1:14">
      <c r="A54" s="6">
        <f t="shared" si="1"/>
        <v>53</v>
      </c>
      <c r="B54" s="7" t="s">
        <v>35</v>
      </c>
      <c r="C54" s="7"/>
      <c r="D54" s="19" t="s">
        <v>86</v>
      </c>
      <c r="E54" s="19" t="s">
        <v>87</v>
      </c>
      <c r="F54" s="7" t="s">
        <v>61</v>
      </c>
      <c r="G54" s="21">
        <v>45474</v>
      </c>
      <c r="H54" s="21">
        <v>45489</v>
      </c>
      <c r="I54" s="7">
        <f t="shared" si="0"/>
        <v>15</v>
      </c>
      <c r="J54" s="19">
        <v>1</v>
      </c>
      <c r="K54" s="19">
        <v>1</v>
      </c>
      <c r="L54" s="19">
        <v>1</v>
      </c>
      <c r="M54" s="19" t="s">
        <v>153</v>
      </c>
      <c r="N54" s="6" t="s">
        <v>21</v>
      </c>
    </row>
    <row r="55" spans="1:14">
      <c r="A55" s="6">
        <f t="shared" si="1"/>
        <v>54</v>
      </c>
      <c r="B55" s="7" t="s">
        <v>35</v>
      </c>
      <c r="C55" s="7"/>
      <c r="D55" s="19" t="s">
        <v>98</v>
      </c>
      <c r="E55" s="19" t="s">
        <v>96</v>
      </c>
      <c r="F55" s="7" t="s">
        <v>61</v>
      </c>
      <c r="G55" s="21">
        <v>45474</v>
      </c>
      <c r="H55" s="21">
        <v>45491</v>
      </c>
      <c r="I55" s="7">
        <f t="shared" si="0"/>
        <v>17</v>
      </c>
      <c r="J55" s="19">
        <v>1</v>
      </c>
      <c r="K55" s="19">
        <v>1</v>
      </c>
      <c r="L55" s="19">
        <v>1</v>
      </c>
      <c r="M55" s="19" t="s">
        <v>154</v>
      </c>
      <c r="N55" s="6" t="s">
        <v>21</v>
      </c>
    </row>
    <row r="56" spans="1:14">
      <c r="A56" s="6">
        <f t="shared" si="1"/>
        <v>55</v>
      </c>
      <c r="B56" s="7" t="s">
        <v>35</v>
      </c>
      <c r="C56" s="7"/>
      <c r="D56" s="19" t="s">
        <v>42</v>
      </c>
      <c r="E56" s="19" t="s">
        <v>66</v>
      </c>
      <c r="F56" s="7" t="s">
        <v>61</v>
      </c>
      <c r="G56" s="21">
        <v>45474</v>
      </c>
      <c r="H56" s="21">
        <v>45491</v>
      </c>
      <c r="I56" s="7">
        <f t="shared" si="0"/>
        <v>17</v>
      </c>
      <c r="J56" s="19">
        <v>1</v>
      </c>
      <c r="K56" s="19">
        <v>1</v>
      </c>
      <c r="L56" s="19">
        <v>1</v>
      </c>
      <c r="M56" s="19" t="s">
        <v>155</v>
      </c>
      <c r="N56" s="6" t="s">
        <v>21</v>
      </c>
    </row>
    <row r="57" spans="1:14">
      <c r="A57" s="6">
        <f t="shared" si="1"/>
        <v>56</v>
      </c>
      <c r="B57" s="7" t="s">
        <v>35</v>
      </c>
      <c r="C57" s="7"/>
      <c r="D57" s="19" t="s">
        <v>156</v>
      </c>
      <c r="E57" s="19" t="s">
        <v>66</v>
      </c>
      <c r="F57" s="7" t="s">
        <v>61</v>
      </c>
      <c r="G57" s="21">
        <v>45474</v>
      </c>
      <c r="H57" s="21">
        <v>45492</v>
      </c>
      <c r="I57" s="7">
        <f t="shared" si="0"/>
        <v>18</v>
      </c>
      <c r="J57" s="19">
        <v>1</v>
      </c>
      <c r="K57" s="19">
        <v>1</v>
      </c>
      <c r="L57" s="19">
        <v>1</v>
      </c>
      <c r="M57" s="19" t="s">
        <v>157</v>
      </c>
      <c r="N57" s="6" t="s">
        <v>21</v>
      </c>
    </row>
    <row r="58" spans="1:14">
      <c r="A58" s="6">
        <f t="shared" si="1"/>
        <v>57</v>
      </c>
      <c r="B58" s="7" t="s">
        <v>35</v>
      </c>
      <c r="C58" s="7"/>
      <c r="D58" s="19" t="s">
        <v>149</v>
      </c>
      <c r="E58" s="19" t="s">
        <v>150</v>
      </c>
      <c r="F58" s="7" t="s">
        <v>61</v>
      </c>
      <c r="G58" s="21">
        <v>45474</v>
      </c>
      <c r="H58" s="21">
        <v>45495</v>
      </c>
      <c r="I58" s="7">
        <f t="shared" si="0"/>
        <v>21</v>
      </c>
      <c r="J58" s="19">
        <v>1</v>
      </c>
      <c r="K58" s="19">
        <v>1</v>
      </c>
      <c r="L58" s="19">
        <v>1</v>
      </c>
      <c r="M58" s="19" t="s">
        <v>158</v>
      </c>
      <c r="N58" s="6" t="s">
        <v>21</v>
      </c>
    </row>
    <row r="59" spans="1:14">
      <c r="A59" s="6">
        <f t="shared" si="1"/>
        <v>58</v>
      </c>
      <c r="B59" s="7" t="s">
        <v>35</v>
      </c>
      <c r="C59" s="7"/>
      <c r="D59" s="19" t="s">
        <v>120</v>
      </c>
      <c r="E59" s="19" t="s">
        <v>75</v>
      </c>
      <c r="F59" s="7" t="s">
        <v>61</v>
      </c>
      <c r="G59" s="21">
        <v>45474</v>
      </c>
      <c r="H59" s="21">
        <v>45495</v>
      </c>
      <c r="I59" s="7">
        <f t="shared" si="0"/>
        <v>21</v>
      </c>
      <c r="J59" s="19">
        <v>1</v>
      </c>
      <c r="K59" s="19">
        <v>1</v>
      </c>
      <c r="L59" s="19">
        <v>1</v>
      </c>
      <c r="M59" s="19" t="s">
        <v>159</v>
      </c>
      <c r="N59" s="6" t="s">
        <v>21</v>
      </c>
    </row>
    <row r="60" spans="1:14">
      <c r="A60" s="6">
        <f t="shared" si="1"/>
        <v>59</v>
      </c>
      <c r="B60" s="7" t="s">
        <v>35</v>
      </c>
      <c r="C60" s="7"/>
      <c r="D60" s="19" t="s">
        <v>74</v>
      </c>
      <c r="E60" s="19" t="s">
        <v>102</v>
      </c>
      <c r="F60" s="7" t="s">
        <v>61</v>
      </c>
      <c r="G60" s="21">
        <v>45474</v>
      </c>
      <c r="H60" s="21">
        <v>45496</v>
      </c>
      <c r="I60" s="7">
        <f t="shared" si="0"/>
        <v>22</v>
      </c>
      <c r="J60" s="19">
        <v>1</v>
      </c>
      <c r="K60" s="19">
        <v>1</v>
      </c>
      <c r="L60" s="19">
        <v>1</v>
      </c>
      <c r="M60" s="19" t="s">
        <v>160</v>
      </c>
      <c r="N60" s="6" t="s">
        <v>21</v>
      </c>
    </row>
    <row r="61" spans="1:14">
      <c r="A61" s="6">
        <f t="shared" si="1"/>
        <v>60</v>
      </c>
      <c r="B61" s="7" t="s">
        <v>35</v>
      </c>
      <c r="C61" s="7"/>
      <c r="D61" s="19" t="s">
        <v>86</v>
      </c>
      <c r="E61" s="19" t="s">
        <v>87</v>
      </c>
      <c r="F61" s="7" t="s">
        <v>61</v>
      </c>
      <c r="G61" s="21">
        <v>45474</v>
      </c>
      <c r="H61" s="21">
        <v>45496</v>
      </c>
      <c r="I61" s="7">
        <f t="shared" si="0"/>
        <v>22</v>
      </c>
      <c r="J61" s="19">
        <v>1</v>
      </c>
      <c r="K61" s="19">
        <v>1</v>
      </c>
      <c r="L61" s="19">
        <v>1</v>
      </c>
      <c r="M61" s="19" t="s">
        <v>161</v>
      </c>
      <c r="N61" s="6" t="s">
        <v>21</v>
      </c>
    </row>
    <row r="62" spans="1:14">
      <c r="A62" s="6">
        <f t="shared" si="1"/>
        <v>61</v>
      </c>
      <c r="B62" s="7" t="s">
        <v>35</v>
      </c>
      <c r="C62" s="7"/>
      <c r="D62" s="19" t="s">
        <v>63</v>
      </c>
      <c r="E62" s="19" t="s">
        <v>75</v>
      </c>
      <c r="F62" s="7" t="s">
        <v>61</v>
      </c>
      <c r="G62" s="21">
        <v>45474</v>
      </c>
      <c r="H62" s="21">
        <v>45497</v>
      </c>
      <c r="I62" s="7">
        <f t="shared" si="0"/>
        <v>23</v>
      </c>
      <c r="J62" s="19">
        <v>1</v>
      </c>
      <c r="K62" s="19">
        <v>1</v>
      </c>
      <c r="L62" s="19">
        <v>1</v>
      </c>
      <c r="M62" s="19" t="s">
        <v>162</v>
      </c>
      <c r="N62" s="6" t="s">
        <v>21</v>
      </c>
    </row>
    <row r="63" spans="1:14">
      <c r="A63" s="6">
        <f t="shared" si="1"/>
        <v>62</v>
      </c>
      <c r="B63" s="7" t="s">
        <v>35</v>
      </c>
      <c r="C63" s="7"/>
      <c r="D63" s="19" t="s">
        <v>120</v>
      </c>
      <c r="E63" s="19" t="s">
        <v>66</v>
      </c>
      <c r="F63" s="7" t="s">
        <v>61</v>
      </c>
      <c r="G63" s="21">
        <v>45474</v>
      </c>
      <c r="H63" s="21">
        <v>45498</v>
      </c>
      <c r="I63" s="7">
        <f t="shared" si="0"/>
        <v>24</v>
      </c>
      <c r="J63" s="19">
        <v>1</v>
      </c>
      <c r="K63" s="19">
        <v>1</v>
      </c>
      <c r="L63" s="19">
        <v>1</v>
      </c>
      <c r="M63" s="19" t="s">
        <v>163</v>
      </c>
      <c r="N63" s="6" t="s">
        <v>21</v>
      </c>
    </row>
    <row r="64" spans="1:14">
      <c r="A64" s="6">
        <f t="shared" si="1"/>
        <v>63</v>
      </c>
      <c r="B64" s="7" t="s">
        <v>35</v>
      </c>
      <c r="C64" s="7"/>
      <c r="D64" s="19" t="s">
        <v>63</v>
      </c>
      <c r="E64" s="19" t="s">
        <v>66</v>
      </c>
      <c r="F64" s="7" t="s">
        <v>61</v>
      </c>
      <c r="G64" s="21">
        <v>45474</v>
      </c>
      <c r="H64" s="21">
        <v>45499</v>
      </c>
      <c r="I64" s="7">
        <f t="shared" si="0"/>
        <v>25</v>
      </c>
      <c r="J64" s="19">
        <v>1</v>
      </c>
      <c r="K64" s="19">
        <v>1</v>
      </c>
      <c r="L64" s="19">
        <v>1</v>
      </c>
      <c r="M64" s="19" t="s">
        <v>164</v>
      </c>
      <c r="N64" s="6" t="s">
        <v>21</v>
      </c>
    </row>
    <row r="65" spans="1:14">
      <c r="A65" s="6">
        <f t="shared" si="1"/>
        <v>64</v>
      </c>
      <c r="B65" s="7" t="s">
        <v>35</v>
      </c>
      <c r="C65" s="7"/>
      <c r="D65" s="19" t="s">
        <v>120</v>
      </c>
      <c r="E65" s="19" t="s">
        <v>75</v>
      </c>
      <c r="F65" s="7" t="s">
        <v>61</v>
      </c>
      <c r="G65" s="21">
        <v>45474</v>
      </c>
      <c r="H65" s="21">
        <v>45502</v>
      </c>
      <c r="I65" s="7">
        <f t="shared" si="0"/>
        <v>28</v>
      </c>
      <c r="J65" s="19">
        <v>1</v>
      </c>
      <c r="K65" s="19">
        <v>1</v>
      </c>
      <c r="L65" s="19">
        <v>1</v>
      </c>
      <c r="M65" s="19" t="s">
        <v>165</v>
      </c>
      <c r="N65" s="6" t="s">
        <v>21</v>
      </c>
    </row>
    <row r="66" spans="1:14">
      <c r="A66" s="6">
        <f t="shared" si="1"/>
        <v>65</v>
      </c>
      <c r="B66" s="7" t="s">
        <v>35</v>
      </c>
      <c r="C66" s="7"/>
      <c r="D66" s="19" t="s">
        <v>63</v>
      </c>
      <c r="E66" s="19" t="s">
        <v>75</v>
      </c>
      <c r="F66" s="7" t="s">
        <v>61</v>
      </c>
      <c r="G66" s="21">
        <v>45505</v>
      </c>
      <c r="H66" s="21">
        <v>45505</v>
      </c>
      <c r="I66" s="7">
        <f t="shared" si="0"/>
        <v>0</v>
      </c>
      <c r="J66" s="19">
        <v>1</v>
      </c>
      <c r="K66" s="19">
        <v>1</v>
      </c>
      <c r="L66" s="19">
        <v>1</v>
      </c>
      <c r="M66" s="19" t="s">
        <v>166</v>
      </c>
      <c r="N66" s="6" t="s">
        <v>21</v>
      </c>
    </row>
    <row r="67" spans="1:14">
      <c r="A67" s="6">
        <f t="shared" si="1"/>
        <v>66</v>
      </c>
      <c r="B67" s="7" t="s">
        <v>35</v>
      </c>
      <c r="C67" s="7"/>
      <c r="D67" s="19" t="s">
        <v>120</v>
      </c>
      <c r="E67" s="19" t="s">
        <v>66</v>
      </c>
      <c r="F67" s="7" t="s">
        <v>61</v>
      </c>
      <c r="G67" s="21">
        <v>45505</v>
      </c>
      <c r="H67" s="21">
        <v>45505</v>
      </c>
      <c r="I67" s="7">
        <f t="shared" si="0"/>
        <v>0</v>
      </c>
      <c r="J67" s="19">
        <v>1</v>
      </c>
      <c r="K67" s="19">
        <v>1</v>
      </c>
      <c r="L67" s="19">
        <v>1</v>
      </c>
      <c r="M67" s="19" t="s">
        <v>167</v>
      </c>
      <c r="N67" s="6" t="s">
        <v>21</v>
      </c>
    </row>
    <row r="68" spans="1:14">
      <c r="A68" s="6">
        <f t="shared" si="1"/>
        <v>67</v>
      </c>
      <c r="B68" s="7" t="s">
        <v>35</v>
      </c>
      <c r="C68" s="7"/>
      <c r="D68" s="19" t="s">
        <v>63</v>
      </c>
      <c r="E68" s="19" t="s">
        <v>66</v>
      </c>
      <c r="F68" s="7" t="s">
        <v>61</v>
      </c>
      <c r="G68" s="21">
        <v>45505</v>
      </c>
      <c r="H68" s="21">
        <v>45505</v>
      </c>
      <c r="I68" s="7">
        <f t="shared" si="0"/>
        <v>0</v>
      </c>
      <c r="J68" s="19">
        <v>1</v>
      </c>
      <c r="K68" s="19">
        <v>1</v>
      </c>
      <c r="L68" s="19">
        <v>1</v>
      </c>
      <c r="M68" s="19" t="s">
        <v>168</v>
      </c>
      <c r="N68" s="6" t="s">
        <v>21</v>
      </c>
    </row>
    <row r="69" spans="1:14">
      <c r="A69" s="6">
        <f t="shared" si="1"/>
        <v>68</v>
      </c>
      <c r="B69" s="7" t="s">
        <v>35</v>
      </c>
      <c r="C69" s="7"/>
      <c r="D69" s="19" t="s">
        <v>70</v>
      </c>
      <c r="E69" s="19" t="s">
        <v>75</v>
      </c>
      <c r="F69" s="7" t="s">
        <v>61</v>
      </c>
      <c r="G69" s="21">
        <v>45505</v>
      </c>
      <c r="H69" s="21">
        <v>45505</v>
      </c>
      <c r="I69" s="7">
        <f t="shared" si="0"/>
        <v>0</v>
      </c>
      <c r="J69" s="19">
        <v>1</v>
      </c>
      <c r="K69" s="19">
        <v>1</v>
      </c>
      <c r="L69" s="19">
        <v>1</v>
      </c>
      <c r="M69" s="19" t="s">
        <v>169</v>
      </c>
      <c r="N69" s="6" t="s">
        <v>21</v>
      </c>
    </row>
    <row r="70" spans="1:14">
      <c r="A70" s="6">
        <f t="shared" si="1"/>
        <v>69</v>
      </c>
      <c r="B70" s="7" t="s">
        <v>35</v>
      </c>
      <c r="C70" s="7"/>
      <c r="D70" s="19" t="s">
        <v>74</v>
      </c>
      <c r="E70" s="19" t="s">
        <v>102</v>
      </c>
      <c r="F70" s="7" t="s">
        <v>61</v>
      </c>
      <c r="G70" s="21">
        <v>45505</v>
      </c>
      <c r="H70" s="21">
        <v>45506</v>
      </c>
      <c r="I70" s="7">
        <f t="shared" si="0"/>
        <v>1</v>
      </c>
      <c r="J70" s="19">
        <v>1</v>
      </c>
      <c r="K70" s="19">
        <v>1</v>
      </c>
      <c r="L70" s="19">
        <v>1</v>
      </c>
      <c r="M70" s="19" t="s">
        <v>170</v>
      </c>
      <c r="N70" s="6" t="s">
        <v>21</v>
      </c>
    </row>
    <row r="71" spans="1:14">
      <c r="A71" s="6">
        <f t="shared" si="1"/>
        <v>70</v>
      </c>
      <c r="B71" s="7" t="s">
        <v>35</v>
      </c>
      <c r="C71" s="7"/>
      <c r="D71" s="19" t="s">
        <v>63</v>
      </c>
      <c r="E71" s="19" t="s">
        <v>75</v>
      </c>
      <c r="F71" s="7" t="s">
        <v>61</v>
      </c>
      <c r="G71" s="21">
        <v>45505</v>
      </c>
      <c r="H71" s="21">
        <v>45511</v>
      </c>
      <c r="I71" s="7">
        <f t="shared" si="0"/>
        <v>6</v>
      </c>
      <c r="J71" s="19">
        <v>1</v>
      </c>
      <c r="K71" s="19">
        <v>1</v>
      </c>
      <c r="L71" s="19">
        <v>1</v>
      </c>
      <c r="M71" s="19" t="s">
        <v>171</v>
      </c>
      <c r="N71" s="6" t="s">
        <v>21</v>
      </c>
    </row>
    <row r="72" spans="1:14">
      <c r="A72" s="6">
        <f t="shared" si="1"/>
        <v>71</v>
      </c>
      <c r="B72" s="7" t="s">
        <v>35</v>
      </c>
      <c r="C72" s="7"/>
      <c r="D72" s="19" t="s">
        <v>70</v>
      </c>
      <c r="E72" s="19" t="s">
        <v>96</v>
      </c>
      <c r="F72" s="7" t="s">
        <v>61</v>
      </c>
      <c r="G72" s="21">
        <v>45505</v>
      </c>
      <c r="H72" s="21">
        <v>45512</v>
      </c>
      <c r="I72" s="7">
        <f t="shared" si="0"/>
        <v>7</v>
      </c>
      <c r="J72" s="19">
        <v>1</v>
      </c>
      <c r="K72" s="19">
        <v>1</v>
      </c>
      <c r="L72" s="19">
        <v>1</v>
      </c>
      <c r="M72" s="19" t="s">
        <v>172</v>
      </c>
      <c r="N72" s="6" t="s">
        <v>21</v>
      </c>
    </row>
    <row r="73" spans="1:14">
      <c r="A73" s="6">
        <f t="shared" si="1"/>
        <v>72</v>
      </c>
      <c r="B73" s="7" t="s">
        <v>35</v>
      </c>
      <c r="C73" s="7"/>
      <c r="D73" s="19" t="s">
        <v>120</v>
      </c>
      <c r="E73" s="19" t="s">
        <v>75</v>
      </c>
      <c r="F73" s="7" t="s">
        <v>61</v>
      </c>
      <c r="G73" s="21">
        <v>45505</v>
      </c>
      <c r="H73" s="21">
        <v>45513</v>
      </c>
      <c r="I73" s="7">
        <f t="shared" si="0"/>
        <v>8</v>
      </c>
      <c r="J73" s="19">
        <v>1</v>
      </c>
      <c r="K73" s="19">
        <v>1</v>
      </c>
      <c r="L73" s="19">
        <v>1</v>
      </c>
      <c r="M73" s="19" t="s">
        <v>173</v>
      </c>
      <c r="N73" s="6" t="s">
        <v>21</v>
      </c>
    </row>
    <row r="74" spans="1:14">
      <c r="A74" s="6">
        <f t="shared" si="1"/>
        <v>73</v>
      </c>
      <c r="B74" s="7" t="s">
        <v>35</v>
      </c>
      <c r="C74" s="7"/>
      <c r="D74" s="19" t="s">
        <v>63</v>
      </c>
      <c r="E74" s="19" t="s">
        <v>66</v>
      </c>
      <c r="F74" s="7" t="s">
        <v>61</v>
      </c>
      <c r="G74" s="21">
        <v>45505</v>
      </c>
      <c r="H74" s="21">
        <v>45513</v>
      </c>
      <c r="I74" s="7">
        <f t="shared" si="0"/>
        <v>8</v>
      </c>
      <c r="J74" s="19">
        <v>1</v>
      </c>
      <c r="K74" s="19">
        <v>1</v>
      </c>
      <c r="L74" s="19">
        <v>1</v>
      </c>
      <c r="M74" s="19" t="s">
        <v>174</v>
      </c>
      <c r="N74" s="6" t="s">
        <v>21</v>
      </c>
    </row>
    <row r="75" spans="1:14">
      <c r="A75" s="6">
        <f t="shared" si="1"/>
        <v>74</v>
      </c>
      <c r="B75" s="7" t="s">
        <v>35</v>
      </c>
      <c r="C75" s="7"/>
      <c r="D75" s="19" t="s">
        <v>70</v>
      </c>
      <c r="E75" s="19" t="s">
        <v>150</v>
      </c>
      <c r="F75" s="7" t="s">
        <v>61</v>
      </c>
      <c r="G75" s="21">
        <v>45505</v>
      </c>
      <c r="H75" s="21">
        <v>45513</v>
      </c>
      <c r="I75" s="7">
        <f t="shared" si="0"/>
        <v>8</v>
      </c>
      <c r="J75" s="19">
        <v>1</v>
      </c>
      <c r="K75" s="19">
        <v>1</v>
      </c>
      <c r="L75" s="19">
        <v>1</v>
      </c>
      <c r="M75" s="19" t="s">
        <v>175</v>
      </c>
      <c r="N75" s="6" t="s">
        <v>21</v>
      </c>
    </row>
    <row r="76" spans="1:14">
      <c r="A76" s="6">
        <f t="shared" si="1"/>
        <v>75</v>
      </c>
      <c r="B76" s="7" t="s">
        <v>35</v>
      </c>
      <c r="C76" s="7"/>
      <c r="D76" s="19" t="s">
        <v>176</v>
      </c>
      <c r="E76" s="19" t="s">
        <v>75</v>
      </c>
      <c r="F76" s="7" t="s">
        <v>61</v>
      </c>
      <c r="G76" s="21">
        <v>45505</v>
      </c>
      <c r="H76" s="21">
        <v>45517</v>
      </c>
      <c r="I76" s="7">
        <f t="shared" si="0"/>
        <v>12</v>
      </c>
      <c r="J76" s="19">
        <v>1</v>
      </c>
      <c r="K76" s="19">
        <v>1</v>
      </c>
      <c r="L76" s="19">
        <v>1</v>
      </c>
      <c r="M76" s="19" t="s">
        <v>177</v>
      </c>
      <c r="N76" s="6" t="s">
        <v>21</v>
      </c>
    </row>
    <row r="77" spans="1:14">
      <c r="A77" s="6">
        <f t="shared" si="1"/>
        <v>76</v>
      </c>
      <c r="B77" s="7" t="s">
        <v>35</v>
      </c>
      <c r="C77" s="7"/>
      <c r="D77" s="19" t="s">
        <v>63</v>
      </c>
      <c r="E77" s="19" t="s">
        <v>75</v>
      </c>
      <c r="F77" s="7" t="s">
        <v>61</v>
      </c>
      <c r="G77" s="21">
        <v>45505</v>
      </c>
      <c r="H77" s="21">
        <v>45519</v>
      </c>
      <c r="I77" s="7">
        <f t="shared" si="0"/>
        <v>14</v>
      </c>
      <c r="J77" s="19">
        <v>1</v>
      </c>
      <c r="K77" s="19">
        <v>1</v>
      </c>
      <c r="L77" s="19">
        <v>1</v>
      </c>
      <c r="M77" s="19" t="s">
        <v>178</v>
      </c>
      <c r="N77" s="6" t="s">
        <v>21</v>
      </c>
    </row>
    <row r="78" spans="1:14">
      <c r="A78" s="6">
        <f t="shared" si="1"/>
        <v>77</v>
      </c>
      <c r="B78" s="7" t="s">
        <v>35</v>
      </c>
      <c r="C78" s="7"/>
      <c r="D78" s="19" t="s">
        <v>120</v>
      </c>
      <c r="E78" s="19" t="s">
        <v>75</v>
      </c>
      <c r="F78" s="7" t="s">
        <v>61</v>
      </c>
      <c r="G78" s="21">
        <v>45505</v>
      </c>
      <c r="H78" s="21">
        <v>45523</v>
      </c>
      <c r="I78" s="7">
        <f t="shared" si="0"/>
        <v>18</v>
      </c>
      <c r="J78" s="19">
        <v>1</v>
      </c>
      <c r="K78" s="19">
        <v>1</v>
      </c>
      <c r="L78" s="19">
        <v>1</v>
      </c>
      <c r="M78" s="19" t="s">
        <v>179</v>
      </c>
      <c r="N78" s="6" t="s">
        <v>21</v>
      </c>
    </row>
    <row r="79" spans="1:14">
      <c r="A79" s="6">
        <f t="shared" si="1"/>
        <v>78</v>
      </c>
      <c r="B79" s="7" t="s">
        <v>35</v>
      </c>
      <c r="C79" s="7"/>
      <c r="D79" s="19" t="s">
        <v>120</v>
      </c>
      <c r="E79" s="19" t="s">
        <v>75</v>
      </c>
      <c r="F79" s="7" t="s">
        <v>61</v>
      </c>
      <c r="G79" s="21">
        <v>45505</v>
      </c>
      <c r="H79" s="21">
        <v>45531</v>
      </c>
      <c r="I79" s="7">
        <f t="shared" si="0"/>
        <v>26</v>
      </c>
      <c r="J79" s="19">
        <v>1</v>
      </c>
      <c r="K79" s="19">
        <v>1</v>
      </c>
      <c r="L79" s="19">
        <v>1</v>
      </c>
      <c r="M79" s="19" t="s">
        <v>180</v>
      </c>
      <c r="N79" s="6" t="s">
        <v>21</v>
      </c>
    </row>
    <row r="80" spans="1:14">
      <c r="A80" s="6">
        <f t="shared" si="1"/>
        <v>79</v>
      </c>
      <c r="B80" s="7" t="s">
        <v>35</v>
      </c>
      <c r="C80" s="7"/>
      <c r="D80" s="19" t="s">
        <v>74</v>
      </c>
      <c r="E80" s="19" t="s">
        <v>102</v>
      </c>
      <c r="F80" s="7" t="s">
        <v>61</v>
      </c>
      <c r="G80" s="21">
        <v>45537</v>
      </c>
      <c r="H80" s="21">
        <v>45537</v>
      </c>
      <c r="I80" s="7">
        <f t="shared" si="0"/>
        <v>0</v>
      </c>
      <c r="J80" s="19">
        <v>1</v>
      </c>
      <c r="K80" s="19">
        <v>1</v>
      </c>
      <c r="L80" s="19">
        <v>1</v>
      </c>
      <c r="M80" s="19" t="s">
        <v>181</v>
      </c>
      <c r="N80" s="6" t="s">
        <v>21</v>
      </c>
    </row>
    <row r="81" spans="1:14">
      <c r="A81" s="6">
        <f t="shared" si="1"/>
        <v>80</v>
      </c>
      <c r="B81" s="7" t="s">
        <v>35</v>
      </c>
      <c r="C81" s="7"/>
      <c r="D81" s="19" t="s">
        <v>63</v>
      </c>
      <c r="E81" s="19" t="s">
        <v>66</v>
      </c>
      <c r="F81" s="7" t="s">
        <v>61</v>
      </c>
      <c r="G81" s="21">
        <v>45537</v>
      </c>
      <c r="H81" s="21">
        <v>45537</v>
      </c>
      <c r="I81" s="7">
        <f t="shared" si="0"/>
        <v>0</v>
      </c>
      <c r="J81" s="19">
        <v>1</v>
      </c>
      <c r="K81" s="19">
        <v>1</v>
      </c>
      <c r="L81" s="19">
        <v>1</v>
      </c>
      <c r="M81" s="19" t="s">
        <v>182</v>
      </c>
      <c r="N81" s="6" t="s">
        <v>21</v>
      </c>
    </row>
    <row r="82" spans="1:14">
      <c r="A82" s="6">
        <f t="shared" si="1"/>
        <v>81</v>
      </c>
      <c r="B82" s="7" t="s">
        <v>35</v>
      </c>
      <c r="C82" s="7"/>
      <c r="D82" s="19" t="s">
        <v>70</v>
      </c>
      <c r="E82" s="19" t="s">
        <v>124</v>
      </c>
      <c r="F82" s="7" t="s">
        <v>61</v>
      </c>
      <c r="G82" s="21">
        <v>45537</v>
      </c>
      <c r="H82" s="21">
        <v>45537</v>
      </c>
      <c r="I82" s="7">
        <f t="shared" si="0"/>
        <v>0</v>
      </c>
      <c r="J82" s="19">
        <v>1</v>
      </c>
      <c r="K82" s="19">
        <v>1</v>
      </c>
      <c r="L82" s="19">
        <v>1</v>
      </c>
      <c r="M82" s="19" t="s">
        <v>183</v>
      </c>
      <c r="N82" s="6" t="s">
        <v>21</v>
      </c>
    </row>
    <row r="83" spans="1:14">
      <c r="A83" s="6">
        <f t="shared" si="1"/>
        <v>82</v>
      </c>
      <c r="B83" s="7" t="s">
        <v>35</v>
      </c>
      <c r="C83" s="7"/>
      <c r="D83" s="19" t="s">
        <v>74</v>
      </c>
      <c r="E83" s="19" t="s">
        <v>102</v>
      </c>
      <c r="F83" s="7" t="s">
        <v>61</v>
      </c>
      <c r="G83" s="21">
        <v>45537</v>
      </c>
      <c r="H83" s="21">
        <v>45538</v>
      </c>
      <c r="I83" s="7">
        <f t="shared" si="0"/>
        <v>1</v>
      </c>
      <c r="J83" s="19">
        <v>1</v>
      </c>
      <c r="K83" s="19">
        <v>1</v>
      </c>
      <c r="L83" s="19">
        <v>1</v>
      </c>
      <c r="M83" s="19" t="s">
        <v>184</v>
      </c>
      <c r="N83" s="6" t="s">
        <v>21</v>
      </c>
    </row>
    <row r="84" spans="1:14">
      <c r="A84" s="6">
        <f t="shared" si="1"/>
        <v>83</v>
      </c>
      <c r="B84" s="7" t="s">
        <v>35</v>
      </c>
      <c r="C84" s="7"/>
      <c r="D84" s="19" t="s">
        <v>42</v>
      </c>
      <c r="E84" s="19" t="s">
        <v>185</v>
      </c>
      <c r="F84" s="7" t="s">
        <v>61</v>
      </c>
      <c r="G84" s="21">
        <v>45537</v>
      </c>
      <c r="H84" s="21">
        <v>45539</v>
      </c>
      <c r="I84" s="7">
        <f t="shared" si="0"/>
        <v>2</v>
      </c>
      <c r="J84" s="19">
        <v>1</v>
      </c>
      <c r="K84" s="19">
        <v>1</v>
      </c>
      <c r="L84" s="19">
        <v>1</v>
      </c>
      <c r="M84" s="19" t="s">
        <v>186</v>
      </c>
      <c r="N84" s="6" t="s">
        <v>21</v>
      </c>
    </row>
    <row r="85" spans="1:14">
      <c r="A85" s="6">
        <f t="shared" si="1"/>
        <v>84</v>
      </c>
      <c r="B85" s="7" t="s">
        <v>35</v>
      </c>
      <c r="C85" s="7"/>
      <c r="D85" s="19" t="s">
        <v>63</v>
      </c>
      <c r="E85" s="19" t="s">
        <v>75</v>
      </c>
      <c r="F85" s="7" t="s">
        <v>61</v>
      </c>
      <c r="G85" s="21">
        <v>45537</v>
      </c>
      <c r="H85" s="21">
        <v>45541</v>
      </c>
      <c r="I85" s="7">
        <f t="shared" si="0"/>
        <v>4</v>
      </c>
      <c r="J85" s="19">
        <v>1</v>
      </c>
      <c r="K85" s="19">
        <v>1</v>
      </c>
      <c r="L85" s="19">
        <v>1</v>
      </c>
      <c r="M85" s="19" t="s">
        <v>187</v>
      </c>
      <c r="N85" s="6" t="s">
        <v>21</v>
      </c>
    </row>
    <row r="86" spans="1:14">
      <c r="A86" s="6">
        <f t="shared" si="1"/>
        <v>85</v>
      </c>
      <c r="B86" s="7" t="s">
        <v>35</v>
      </c>
      <c r="C86" s="7"/>
      <c r="D86" s="19" t="s">
        <v>63</v>
      </c>
      <c r="E86" s="19" t="s">
        <v>36</v>
      </c>
      <c r="F86" s="7" t="s">
        <v>61</v>
      </c>
      <c r="G86" s="21">
        <v>45537</v>
      </c>
      <c r="H86" s="21">
        <v>45541</v>
      </c>
      <c r="I86" s="7">
        <f t="shared" si="0"/>
        <v>4</v>
      </c>
      <c r="J86" s="19">
        <v>1</v>
      </c>
      <c r="K86" s="19">
        <v>1</v>
      </c>
      <c r="L86" s="19">
        <v>1</v>
      </c>
      <c r="M86" s="19" t="s">
        <v>188</v>
      </c>
      <c r="N86" s="6" t="s">
        <v>21</v>
      </c>
    </row>
    <row r="87" spans="1:14">
      <c r="A87" s="6">
        <f t="shared" si="1"/>
        <v>86</v>
      </c>
      <c r="B87" s="7" t="s">
        <v>35</v>
      </c>
      <c r="C87" s="7"/>
      <c r="D87" s="19" t="s">
        <v>63</v>
      </c>
      <c r="E87" s="19" t="s">
        <v>66</v>
      </c>
      <c r="F87" s="7" t="s">
        <v>61</v>
      </c>
      <c r="G87" s="21">
        <v>45537</v>
      </c>
      <c r="H87" s="21">
        <v>45546</v>
      </c>
      <c r="I87" s="7">
        <f t="shared" si="0"/>
        <v>9</v>
      </c>
      <c r="J87" s="19">
        <v>1</v>
      </c>
      <c r="K87" s="19">
        <v>1</v>
      </c>
      <c r="L87" s="19">
        <v>1</v>
      </c>
      <c r="M87" s="19" t="s">
        <v>189</v>
      </c>
      <c r="N87" s="6" t="s">
        <v>21</v>
      </c>
    </row>
    <row r="88" spans="1:14">
      <c r="A88" s="6">
        <f t="shared" si="1"/>
        <v>87</v>
      </c>
      <c r="B88" s="7" t="s">
        <v>35</v>
      </c>
      <c r="C88" s="7"/>
      <c r="D88" s="19" t="s">
        <v>120</v>
      </c>
      <c r="E88" s="19" t="s">
        <v>66</v>
      </c>
      <c r="F88" s="7" t="s">
        <v>61</v>
      </c>
      <c r="G88" s="21">
        <v>45537</v>
      </c>
      <c r="H88" s="21">
        <v>45546</v>
      </c>
      <c r="I88" s="7">
        <f t="shared" si="0"/>
        <v>9</v>
      </c>
      <c r="J88" s="19">
        <v>1</v>
      </c>
      <c r="K88" s="19">
        <v>1</v>
      </c>
      <c r="L88" s="19">
        <v>1</v>
      </c>
      <c r="M88" s="19" t="s">
        <v>190</v>
      </c>
      <c r="N88" s="6" t="s">
        <v>21</v>
      </c>
    </row>
    <row r="89" spans="1:14">
      <c r="A89" s="6">
        <f t="shared" si="1"/>
        <v>88</v>
      </c>
      <c r="B89" s="7" t="s">
        <v>35</v>
      </c>
      <c r="C89" s="7"/>
      <c r="D89" s="19" t="s">
        <v>191</v>
      </c>
      <c r="E89" s="19" t="s">
        <v>185</v>
      </c>
      <c r="F89" s="7" t="s">
        <v>61</v>
      </c>
      <c r="G89" s="21">
        <v>45537</v>
      </c>
      <c r="H89" s="21">
        <v>45558</v>
      </c>
      <c r="I89" s="7">
        <f t="shared" si="0"/>
        <v>21</v>
      </c>
      <c r="J89" s="19">
        <v>1</v>
      </c>
      <c r="K89" s="19">
        <v>1</v>
      </c>
      <c r="L89" s="19">
        <v>1</v>
      </c>
      <c r="M89" s="19" t="s">
        <v>192</v>
      </c>
      <c r="N89" s="6" t="s">
        <v>21</v>
      </c>
    </row>
    <row r="90" spans="1:14">
      <c r="A90" s="6">
        <f t="shared" si="1"/>
        <v>89</v>
      </c>
      <c r="B90" s="7" t="s">
        <v>35</v>
      </c>
      <c r="C90" s="7"/>
      <c r="D90" s="19" t="s">
        <v>70</v>
      </c>
      <c r="E90" s="19" t="s">
        <v>96</v>
      </c>
      <c r="F90" s="7" t="s">
        <v>61</v>
      </c>
      <c r="G90" s="21">
        <v>45537</v>
      </c>
      <c r="H90" s="21">
        <v>45559</v>
      </c>
      <c r="I90" s="7">
        <f t="shared" si="0"/>
        <v>22</v>
      </c>
      <c r="J90" s="19">
        <v>1</v>
      </c>
      <c r="K90" s="19">
        <v>1</v>
      </c>
      <c r="L90" s="19">
        <v>1</v>
      </c>
      <c r="M90" s="19" t="s">
        <v>193</v>
      </c>
      <c r="N90" s="6" t="s">
        <v>21</v>
      </c>
    </row>
    <row r="91" spans="1:14">
      <c r="A91" s="6">
        <f t="shared" si="1"/>
        <v>90</v>
      </c>
      <c r="B91" s="7" t="s">
        <v>35</v>
      </c>
      <c r="C91" s="7"/>
      <c r="D91" s="19" t="s">
        <v>63</v>
      </c>
      <c r="E91" s="19" t="s">
        <v>75</v>
      </c>
      <c r="F91" s="7" t="s">
        <v>61</v>
      </c>
      <c r="G91" s="21">
        <v>45537</v>
      </c>
      <c r="H91" s="21">
        <v>45559</v>
      </c>
      <c r="I91" s="7">
        <f t="shared" si="0"/>
        <v>22</v>
      </c>
      <c r="J91" s="19">
        <v>1</v>
      </c>
      <c r="K91" s="19">
        <v>1</v>
      </c>
      <c r="L91" s="19">
        <v>1</v>
      </c>
      <c r="M91" s="19" t="s">
        <v>194</v>
      </c>
      <c r="N91" s="6" t="s">
        <v>21</v>
      </c>
    </row>
    <row r="92" spans="1:14">
      <c r="A92" s="6">
        <f t="shared" si="1"/>
        <v>91</v>
      </c>
      <c r="B92" s="7" t="s">
        <v>35</v>
      </c>
      <c r="C92" s="7"/>
      <c r="D92" s="19" t="s">
        <v>120</v>
      </c>
      <c r="E92" s="19" t="s">
        <v>66</v>
      </c>
      <c r="F92" s="7" t="s">
        <v>61</v>
      </c>
      <c r="G92" s="21">
        <v>45537</v>
      </c>
      <c r="H92" s="21">
        <v>45560</v>
      </c>
      <c r="I92" s="7">
        <f t="shared" si="0"/>
        <v>23</v>
      </c>
      <c r="J92" s="19">
        <v>1</v>
      </c>
      <c r="K92" s="19">
        <v>1</v>
      </c>
      <c r="L92" s="19">
        <v>1</v>
      </c>
      <c r="M92" s="19" t="s">
        <v>195</v>
      </c>
      <c r="N92" s="6" t="s">
        <v>21</v>
      </c>
    </row>
    <row r="93" spans="1:14">
      <c r="A93" s="6">
        <f t="shared" si="1"/>
        <v>92</v>
      </c>
      <c r="B93" s="7" t="s">
        <v>35</v>
      </c>
      <c r="C93" s="7"/>
      <c r="D93" s="19" t="s">
        <v>120</v>
      </c>
      <c r="E93" s="19" t="s">
        <v>75</v>
      </c>
      <c r="F93" s="7" t="s">
        <v>61</v>
      </c>
      <c r="G93" s="21">
        <v>45537</v>
      </c>
      <c r="H93" s="21">
        <v>45561</v>
      </c>
      <c r="I93" s="7">
        <f t="shared" si="0"/>
        <v>24</v>
      </c>
      <c r="J93" s="19">
        <v>1</v>
      </c>
      <c r="K93" s="19">
        <v>1</v>
      </c>
      <c r="L93" s="19">
        <v>1</v>
      </c>
      <c r="M93" s="19" t="s">
        <v>196</v>
      </c>
      <c r="N93" s="6" t="s">
        <v>21</v>
      </c>
    </row>
    <row r="94" spans="1:14">
      <c r="A94" s="6">
        <f t="shared" si="1"/>
        <v>93</v>
      </c>
      <c r="B94" s="7" t="s">
        <v>35</v>
      </c>
      <c r="C94" s="7"/>
      <c r="D94" s="19" t="s">
        <v>70</v>
      </c>
      <c r="E94" s="19" t="s">
        <v>66</v>
      </c>
      <c r="F94" s="7" t="s">
        <v>61</v>
      </c>
      <c r="G94" s="21">
        <v>45537</v>
      </c>
      <c r="H94" s="21">
        <v>45561</v>
      </c>
      <c r="I94" s="7">
        <f t="shared" si="0"/>
        <v>24</v>
      </c>
      <c r="J94" s="19">
        <v>1</v>
      </c>
      <c r="K94" s="19">
        <v>1</v>
      </c>
      <c r="L94" s="19">
        <v>1</v>
      </c>
      <c r="M94" s="19" t="s">
        <v>197</v>
      </c>
      <c r="N94" s="6" t="s">
        <v>21</v>
      </c>
    </row>
    <row r="95" spans="1:14">
      <c r="A95" s="6">
        <f t="shared" si="1"/>
        <v>94</v>
      </c>
      <c r="B95" s="7" t="s">
        <v>35</v>
      </c>
      <c r="C95" s="7"/>
      <c r="D95" s="19" t="s">
        <v>198</v>
      </c>
      <c r="E95" s="19" t="s">
        <v>199</v>
      </c>
      <c r="F95" s="7" t="s">
        <v>61</v>
      </c>
      <c r="G95" s="21">
        <v>45566</v>
      </c>
      <c r="H95" s="21">
        <v>45566</v>
      </c>
      <c r="I95" s="7">
        <f t="shared" si="0"/>
        <v>0</v>
      </c>
      <c r="J95" s="19">
        <v>1</v>
      </c>
      <c r="K95" s="19">
        <v>1</v>
      </c>
      <c r="L95" s="19">
        <v>1</v>
      </c>
      <c r="M95" s="19" t="s">
        <v>200</v>
      </c>
      <c r="N95" s="6" t="s">
        <v>21</v>
      </c>
    </row>
    <row r="96" spans="1:14">
      <c r="A96" s="6">
        <f t="shared" si="1"/>
        <v>95</v>
      </c>
      <c r="B96" s="7" t="s">
        <v>35</v>
      </c>
      <c r="C96" s="7"/>
      <c r="D96" s="19" t="s">
        <v>70</v>
      </c>
      <c r="E96" s="19" t="s">
        <v>66</v>
      </c>
      <c r="F96" s="7" t="s">
        <v>61</v>
      </c>
      <c r="G96" s="21">
        <v>45566</v>
      </c>
      <c r="H96" s="21">
        <v>45568</v>
      </c>
      <c r="I96" s="7">
        <f t="shared" si="0"/>
        <v>2</v>
      </c>
      <c r="J96" s="19">
        <v>1</v>
      </c>
      <c r="K96" s="19">
        <v>1</v>
      </c>
      <c r="L96" s="19">
        <v>1</v>
      </c>
      <c r="M96" s="19" t="s">
        <v>201</v>
      </c>
      <c r="N96" s="6" t="s">
        <v>21</v>
      </c>
    </row>
    <row r="97" spans="1:14">
      <c r="A97" s="6">
        <f t="shared" si="1"/>
        <v>96</v>
      </c>
      <c r="B97" s="7" t="s">
        <v>35</v>
      </c>
      <c r="C97" s="7"/>
      <c r="D97" s="19" t="s">
        <v>70</v>
      </c>
      <c r="E97" s="19" t="s">
        <v>66</v>
      </c>
      <c r="F97" s="7" t="s">
        <v>61</v>
      </c>
      <c r="G97" s="21">
        <v>45566</v>
      </c>
      <c r="H97" s="21">
        <v>45569</v>
      </c>
      <c r="I97" s="7">
        <f t="shared" si="0"/>
        <v>3</v>
      </c>
      <c r="J97" s="19">
        <v>1</v>
      </c>
      <c r="K97" s="19">
        <v>1</v>
      </c>
      <c r="L97" s="19">
        <v>1</v>
      </c>
      <c r="M97" s="19" t="s">
        <v>202</v>
      </c>
      <c r="N97" s="6" t="s">
        <v>21</v>
      </c>
    </row>
    <row r="98" spans="1:14">
      <c r="A98" s="6">
        <f t="shared" si="1"/>
        <v>97</v>
      </c>
      <c r="B98" s="7" t="s">
        <v>35</v>
      </c>
      <c r="C98" s="7"/>
      <c r="D98" s="19" t="s">
        <v>120</v>
      </c>
      <c r="E98" s="19" t="s">
        <v>66</v>
      </c>
      <c r="F98" s="7" t="s">
        <v>61</v>
      </c>
      <c r="G98" s="21">
        <v>45566</v>
      </c>
      <c r="H98" s="21">
        <v>45572</v>
      </c>
      <c r="I98" s="7">
        <f t="shared" si="0"/>
        <v>6</v>
      </c>
      <c r="J98" s="19">
        <v>1</v>
      </c>
      <c r="K98" s="19">
        <v>1</v>
      </c>
      <c r="L98" s="19">
        <v>1</v>
      </c>
      <c r="M98" s="19" t="s">
        <v>203</v>
      </c>
      <c r="N98" s="6" t="s">
        <v>21</v>
      </c>
    </row>
    <row r="99" spans="1:14">
      <c r="A99" s="6">
        <f t="shared" si="1"/>
        <v>98</v>
      </c>
      <c r="B99" s="7" t="s">
        <v>35</v>
      </c>
      <c r="C99" s="7"/>
      <c r="D99" s="19" t="s">
        <v>63</v>
      </c>
      <c r="E99" s="19" t="s">
        <v>75</v>
      </c>
      <c r="F99" s="7" t="s">
        <v>61</v>
      </c>
      <c r="G99" s="21">
        <v>45566</v>
      </c>
      <c r="H99" s="21">
        <v>45572</v>
      </c>
      <c r="I99" s="7">
        <f t="shared" si="0"/>
        <v>6</v>
      </c>
      <c r="J99" s="19">
        <v>1</v>
      </c>
      <c r="K99" s="19">
        <v>1</v>
      </c>
      <c r="L99" s="19">
        <v>1</v>
      </c>
      <c r="M99" s="19" t="s">
        <v>204</v>
      </c>
      <c r="N99" s="6" t="s">
        <v>21</v>
      </c>
    </row>
    <row r="100" spans="1:14">
      <c r="A100" s="6">
        <f t="shared" si="1"/>
        <v>99</v>
      </c>
      <c r="B100" s="7" t="s">
        <v>35</v>
      </c>
      <c r="C100" s="7"/>
      <c r="D100" s="19" t="s">
        <v>74</v>
      </c>
      <c r="E100" s="19" t="s">
        <v>102</v>
      </c>
      <c r="F100" s="7" t="s">
        <v>61</v>
      </c>
      <c r="G100" s="21">
        <v>45566</v>
      </c>
      <c r="H100" s="21">
        <v>45572</v>
      </c>
      <c r="I100" s="7">
        <f t="shared" si="0"/>
        <v>6</v>
      </c>
      <c r="J100" s="19">
        <v>1</v>
      </c>
      <c r="K100" s="19">
        <v>1</v>
      </c>
      <c r="L100" s="19">
        <v>1</v>
      </c>
      <c r="M100" s="19" t="s">
        <v>205</v>
      </c>
      <c r="N100" s="6" t="s">
        <v>21</v>
      </c>
    </row>
    <row r="101" spans="1:14">
      <c r="A101" s="6">
        <f t="shared" si="1"/>
        <v>100</v>
      </c>
      <c r="B101" s="7" t="s">
        <v>35</v>
      </c>
      <c r="C101" s="7"/>
      <c r="D101" s="19" t="s">
        <v>74</v>
      </c>
      <c r="E101" s="19" t="s">
        <v>206</v>
      </c>
      <c r="F101" s="7" t="s">
        <v>61</v>
      </c>
      <c r="G101" s="21">
        <v>45566</v>
      </c>
      <c r="H101" s="21">
        <v>45572</v>
      </c>
      <c r="I101" s="7">
        <f t="shared" si="0"/>
        <v>6</v>
      </c>
      <c r="J101" s="19">
        <v>1</v>
      </c>
      <c r="K101" s="19">
        <v>1</v>
      </c>
      <c r="L101" s="19">
        <v>1</v>
      </c>
      <c r="M101" s="19" t="s">
        <v>207</v>
      </c>
      <c r="N101" s="6" t="s">
        <v>21</v>
      </c>
    </row>
    <row r="102" spans="1:14">
      <c r="A102" s="6">
        <f t="shared" si="1"/>
        <v>101</v>
      </c>
      <c r="B102" s="7" t="s">
        <v>15</v>
      </c>
      <c r="C102" s="7"/>
      <c r="D102" s="19" t="s">
        <v>208</v>
      </c>
      <c r="E102" s="19" t="s">
        <v>209</v>
      </c>
      <c r="F102" s="7" t="s">
        <v>61</v>
      </c>
      <c r="G102" s="21">
        <v>45566</v>
      </c>
      <c r="H102" s="21">
        <v>45572</v>
      </c>
      <c r="I102" s="7">
        <f t="shared" si="0"/>
        <v>6</v>
      </c>
      <c r="J102" s="19">
        <v>1</v>
      </c>
      <c r="K102" s="19">
        <v>1</v>
      </c>
      <c r="L102" s="19">
        <v>1</v>
      </c>
      <c r="M102" s="19" t="s">
        <v>210</v>
      </c>
      <c r="N102" s="6" t="s">
        <v>21</v>
      </c>
    </row>
    <row r="103" spans="1:14">
      <c r="A103" s="6">
        <f t="shared" si="1"/>
        <v>102</v>
      </c>
      <c r="B103" s="7" t="s">
        <v>35</v>
      </c>
      <c r="C103" s="7"/>
      <c r="D103" s="19" t="s">
        <v>211</v>
      </c>
      <c r="E103" s="19" t="s">
        <v>150</v>
      </c>
      <c r="F103" s="7" t="s">
        <v>61</v>
      </c>
      <c r="G103" s="21">
        <v>45566</v>
      </c>
      <c r="H103" s="21">
        <v>45573</v>
      </c>
      <c r="I103" s="7">
        <f t="shared" si="0"/>
        <v>7</v>
      </c>
      <c r="J103" s="19">
        <v>1</v>
      </c>
      <c r="K103" s="19">
        <v>1</v>
      </c>
      <c r="L103" s="19">
        <v>1</v>
      </c>
      <c r="M103" s="19" t="s">
        <v>212</v>
      </c>
      <c r="N103" s="6" t="s">
        <v>21</v>
      </c>
    </row>
    <row r="104" spans="1:14">
      <c r="A104" s="6">
        <f t="shared" si="1"/>
        <v>103</v>
      </c>
      <c r="B104" s="7" t="s">
        <v>35</v>
      </c>
      <c r="C104" s="7"/>
      <c r="D104" s="19" t="s">
        <v>98</v>
      </c>
      <c r="E104" s="19" t="s">
        <v>66</v>
      </c>
      <c r="F104" s="7" t="s">
        <v>61</v>
      </c>
      <c r="G104" s="21">
        <v>45566</v>
      </c>
      <c r="H104" s="21">
        <v>45567</v>
      </c>
      <c r="I104" s="7">
        <f t="shared" si="0"/>
        <v>1</v>
      </c>
      <c r="J104" s="19">
        <v>1</v>
      </c>
      <c r="K104" s="19">
        <v>1</v>
      </c>
      <c r="L104" s="19">
        <v>1</v>
      </c>
      <c r="M104" s="19" t="s">
        <v>213</v>
      </c>
      <c r="N104" s="6" t="s">
        <v>21</v>
      </c>
    </row>
    <row r="105" spans="1:14">
      <c r="A105" s="6">
        <f t="shared" si="1"/>
        <v>104</v>
      </c>
      <c r="B105" s="7" t="s">
        <v>35</v>
      </c>
      <c r="C105" s="7"/>
      <c r="D105" s="19" t="s">
        <v>120</v>
      </c>
      <c r="E105" s="19" t="s">
        <v>66</v>
      </c>
      <c r="F105" s="7" t="s">
        <v>61</v>
      </c>
      <c r="G105" s="21">
        <v>45566</v>
      </c>
      <c r="H105" s="21">
        <v>45574</v>
      </c>
      <c r="I105" s="7">
        <f t="shared" si="0"/>
        <v>8</v>
      </c>
      <c r="J105" s="19">
        <v>1</v>
      </c>
      <c r="K105" s="19">
        <v>1</v>
      </c>
      <c r="L105" s="19">
        <v>1</v>
      </c>
      <c r="M105" s="19" t="s">
        <v>214</v>
      </c>
      <c r="N105" s="6" t="s">
        <v>21</v>
      </c>
    </row>
    <row r="106" spans="1:14">
      <c r="A106" s="6">
        <f t="shared" si="1"/>
        <v>105</v>
      </c>
      <c r="B106" s="7" t="s">
        <v>35</v>
      </c>
      <c r="C106" s="7"/>
      <c r="D106" s="19" t="s">
        <v>70</v>
      </c>
      <c r="E106" s="19" t="s">
        <v>66</v>
      </c>
      <c r="F106" s="7" t="s">
        <v>61</v>
      </c>
      <c r="G106" s="21">
        <v>45566</v>
      </c>
      <c r="H106" s="21">
        <v>45575</v>
      </c>
      <c r="I106" s="7">
        <f t="shared" si="0"/>
        <v>9</v>
      </c>
      <c r="J106" s="19">
        <v>1</v>
      </c>
      <c r="K106" s="19">
        <v>1</v>
      </c>
      <c r="L106" s="19">
        <v>1</v>
      </c>
      <c r="M106" s="19" t="s">
        <v>215</v>
      </c>
      <c r="N106" s="6" t="s">
        <v>21</v>
      </c>
    </row>
    <row r="107" spans="1:14">
      <c r="A107" s="6">
        <f t="shared" si="1"/>
        <v>106</v>
      </c>
      <c r="B107" s="7" t="s">
        <v>25</v>
      </c>
      <c r="C107" s="7"/>
      <c r="D107" s="19" t="s">
        <v>216</v>
      </c>
      <c r="E107" s="19" t="s">
        <v>185</v>
      </c>
      <c r="F107" s="7" t="s">
        <v>61</v>
      </c>
      <c r="G107" s="21">
        <v>45566</v>
      </c>
      <c r="H107" s="21">
        <v>45583</v>
      </c>
      <c r="I107" s="7">
        <f t="shared" si="0"/>
        <v>17</v>
      </c>
      <c r="J107" s="19">
        <v>1</v>
      </c>
      <c r="K107" s="19">
        <v>1</v>
      </c>
      <c r="L107" s="19">
        <v>1</v>
      </c>
      <c r="M107" s="19" t="s">
        <v>217</v>
      </c>
      <c r="N107" s="6" t="s">
        <v>21</v>
      </c>
    </row>
    <row r="108" spans="1:14">
      <c r="A108" s="6">
        <f t="shared" si="1"/>
        <v>107</v>
      </c>
      <c r="B108" s="7" t="s">
        <v>35</v>
      </c>
      <c r="C108" s="7"/>
      <c r="D108" s="19" t="s">
        <v>149</v>
      </c>
      <c r="E108" s="19" t="s">
        <v>150</v>
      </c>
      <c r="F108" s="7" t="s">
        <v>61</v>
      </c>
      <c r="G108" s="21">
        <v>45566</v>
      </c>
      <c r="H108" s="21">
        <v>45586</v>
      </c>
      <c r="I108" s="7">
        <f t="shared" si="0"/>
        <v>20</v>
      </c>
      <c r="J108" s="19">
        <v>1</v>
      </c>
      <c r="K108" s="19">
        <v>1</v>
      </c>
      <c r="L108" s="19">
        <v>1</v>
      </c>
      <c r="M108" s="19" t="s">
        <v>218</v>
      </c>
      <c r="N108" s="6" t="s">
        <v>21</v>
      </c>
    </row>
    <row r="109" spans="1:14">
      <c r="A109" s="6">
        <f t="shared" si="1"/>
        <v>108</v>
      </c>
      <c r="B109" s="7" t="s">
        <v>35</v>
      </c>
      <c r="C109" s="7"/>
      <c r="D109" s="19" t="s">
        <v>42</v>
      </c>
      <c r="E109" s="19" t="s">
        <v>150</v>
      </c>
      <c r="F109" s="7" t="s">
        <v>61</v>
      </c>
      <c r="G109" s="21">
        <v>45566</v>
      </c>
      <c r="H109" s="21">
        <v>45587</v>
      </c>
      <c r="I109" s="7">
        <f t="shared" si="0"/>
        <v>21</v>
      </c>
      <c r="J109" s="19">
        <v>1</v>
      </c>
      <c r="K109" s="19">
        <v>1</v>
      </c>
      <c r="L109" s="19">
        <v>1</v>
      </c>
      <c r="M109" s="19" t="s">
        <v>219</v>
      </c>
      <c r="N109" s="6" t="s">
        <v>21</v>
      </c>
    </row>
    <row r="110" spans="1:14">
      <c r="A110" s="6">
        <f t="shared" si="1"/>
        <v>109</v>
      </c>
      <c r="B110" s="7" t="s">
        <v>35</v>
      </c>
      <c r="C110" s="7"/>
      <c r="D110" s="19" t="s">
        <v>74</v>
      </c>
      <c r="E110" s="19" t="s">
        <v>206</v>
      </c>
      <c r="F110" s="7" t="s">
        <v>61</v>
      </c>
      <c r="G110" s="21">
        <v>45566</v>
      </c>
      <c r="H110" s="21">
        <v>45590</v>
      </c>
      <c r="I110" s="7">
        <f t="shared" si="0"/>
        <v>24</v>
      </c>
      <c r="J110" s="19">
        <v>1</v>
      </c>
      <c r="K110" s="19">
        <v>1</v>
      </c>
      <c r="L110" s="19">
        <v>1</v>
      </c>
      <c r="M110" s="19" t="s">
        <v>220</v>
      </c>
      <c r="N110" s="6" t="s">
        <v>21</v>
      </c>
    </row>
    <row r="111" spans="1:14">
      <c r="A111" s="6">
        <f t="shared" si="1"/>
        <v>110</v>
      </c>
      <c r="B111" s="7" t="s">
        <v>35</v>
      </c>
      <c r="C111" s="7"/>
      <c r="D111" s="19" t="s">
        <v>70</v>
      </c>
      <c r="E111" s="19" t="s">
        <v>150</v>
      </c>
      <c r="F111" s="7" t="s">
        <v>61</v>
      </c>
      <c r="G111" s="21">
        <v>45566</v>
      </c>
      <c r="H111" s="21">
        <v>45583</v>
      </c>
      <c r="I111" s="7">
        <f t="shared" si="0"/>
        <v>17</v>
      </c>
      <c r="J111" s="19">
        <v>1</v>
      </c>
      <c r="K111" s="19">
        <v>1</v>
      </c>
      <c r="L111" s="19">
        <v>1</v>
      </c>
      <c r="M111" s="19" t="s">
        <v>221</v>
      </c>
      <c r="N111" s="6" t="s">
        <v>21</v>
      </c>
    </row>
    <row r="112" spans="1:14">
      <c r="A112" s="6">
        <f t="shared" si="1"/>
        <v>111</v>
      </c>
      <c r="B112" s="7" t="s">
        <v>35</v>
      </c>
      <c r="C112" s="7"/>
      <c r="D112" s="19" t="s">
        <v>42</v>
      </c>
      <c r="E112" s="19" t="s">
        <v>199</v>
      </c>
      <c r="F112" s="7" t="s">
        <v>61</v>
      </c>
      <c r="G112" s="21">
        <v>45597</v>
      </c>
      <c r="H112" s="21">
        <v>45597</v>
      </c>
      <c r="I112" s="7">
        <f t="shared" si="0"/>
        <v>0</v>
      </c>
      <c r="J112" s="19">
        <v>1</v>
      </c>
      <c r="K112" s="19">
        <v>1</v>
      </c>
      <c r="L112" s="19">
        <v>1</v>
      </c>
      <c r="M112" s="19" t="s">
        <v>222</v>
      </c>
      <c r="N112" s="6" t="s">
        <v>21</v>
      </c>
    </row>
    <row r="113" spans="1:14">
      <c r="A113" s="6">
        <f t="shared" si="1"/>
        <v>112</v>
      </c>
      <c r="B113" s="7" t="s">
        <v>35</v>
      </c>
      <c r="C113" s="7"/>
      <c r="D113" s="19" t="s">
        <v>120</v>
      </c>
      <c r="E113" s="19" t="s">
        <v>66</v>
      </c>
      <c r="F113" s="7" t="s">
        <v>61</v>
      </c>
      <c r="G113" s="21">
        <v>45597</v>
      </c>
      <c r="H113" s="21">
        <v>45609</v>
      </c>
      <c r="I113" s="7">
        <f t="shared" si="0"/>
        <v>12</v>
      </c>
      <c r="J113" s="19">
        <v>1</v>
      </c>
      <c r="K113" s="19">
        <v>1</v>
      </c>
      <c r="L113" s="19">
        <v>1</v>
      </c>
      <c r="M113" s="19" t="s">
        <v>223</v>
      </c>
      <c r="N113" s="6" t="s">
        <v>21</v>
      </c>
    </row>
    <row r="114" spans="1:14">
      <c r="A114" s="6">
        <f t="shared" si="1"/>
        <v>113</v>
      </c>
      <c r="B114" s="7" t="s">
        <v>35</v>
      </c>
      <c r="C114" s="7"/>
      <c r="D114" s="19" t="s">
        <v>70</v>
      </c>
      <c r="E114" s="19" t="s">
        <v>150</v>
      </c>
      <c r="F114" s="7" t="s">
        <v>61</v>
      </c>
      <c r="G114" s="21">
        <v>45597</v>
      </c>
      <c r="H114" s="21">
        <v>45610</v>
      </c>
      <c r="I114" s="7">
        <f t="shared" si="0"/>
        <v>13</v>
      </c>
      <c r="J114" s="19">
        <v>1</v>
      </c>
      <c r="K114" s="19">
        <v>1</v>
      </c>
      <c r="L114" s="19">
        <v>1</v>
      </c>
      <c r="M114" s="19" t="s">
        <v>224</v>
      </c>
      <c r="N114" s="6" t="s">
        <v>21</v>
      </c>
    </row>
    <row r="115" spans="1:14">
      <c r="A115" s="6">
        <f t="shared" si="1"/>
        <v>114</v>
      </c>
      <c r="B115" s="7" t="s">
        <v>35</v>
      </c>
      <c r="C115" s="7"/>
      <c r="D115" s="19" t="s">
        <v>89</v>
      </c>
      <c r="E115" s="19" t="s">
        <v>87</v>
      </c>
      <c r="F115" s="7" t="s">
        <v>61</v>
      </c>
      <c r="G115" s="21">
        <v>45597</v>
      </c>
      <c r="H115" s="21">
        <v>45610</v>
      </c>
      <c r="I115" s="7">
        <f t="shared" si="0"/>
        <v>13</v>
      </c>
      <c r="J115" s="19">
        <v>1</v>
      </c>
      <c r="K115" s="19">
        <v>1</v>
      </c>
      <c r="L115" s="19">
        <v>1</v>
      </c>
      <c r="M115" s="19" t="s">
        <v>225</v>
      </c>
      <c r="N115" s="6" t="s">
        <v>21</v>
      </c>
    </row>
    <row r="116" spans="1:14">
      <c r="A116" s="6">
        <f t="shared" si="1"/>
        <v>115</v>
      </c>
      <c r="B116" s="7" t="s">
        <v>35</v>
      </c>
      <c r="C116" s="7"/>
      <c r="D116" s="19" t="s">
        <v>98</v>
      </c>
      <c r="E116" s="19" t="s">
        <v>96</v>
      </c>
      <c r="F116" s="7" t="s">
        <v>61</v>
      </c>
      <c r="G116" s="21">
        <v>45597</v>
      </c>
      <c r="H116" s="21">
        <v>45614</v>
      </c>
      <c r="I116" s="7">
        <f t="shared" si="0"/>
        <v>17</v>
      </c>
      <c r="J116" s="19">
        <v>1</v>
      </c>
      <c r="K116" s="19">
        <v>1</v>
      </c>
      <c r="L116" s="19">
        <v>1</v>
      </c>
      <c r="M116" s="19" t="s">
        <v>226</v>
      </c>
      <c r="N116" s="6" t="s">
        <v>21</v>
      </c>
    </row>
    <row r="117" spans="1:14">
      <c r="A117" s="6">
        <f t="shared" si="1"/>
        <v>116</v>
      </c>
      <c r="B117" s="7" t="s">
        <v>35</v>
      </c>
      <c r="C117" s="7"/>
      <c r="D117" s="19" t="s">
        <v>120</v>
      </c>
      <c r="E117" s="19" t="s">
        <v>75</v>
      </c>
      <c r="F117" s="7" t="s">
        <v>61</v>
      </c>
      <c r="G117" s="21">
        <v>45597</v>
      </c>
      <c r="H117" s="21">
        <v>45617</v>
      </c>
      <c r="I117" s="7">
        <f t="shared" si="0"/>
        <v>20</v>
      </c>
      <c r="J117" s="19">
        <v>1</v>
      </c>
      <c r="K117" s="19">
        <v>1</v>
      </c>
      <c r="L117" s="19">
        <v>1</v>
      </c>
      <c r="M117" s="19" t="s">
        <v>227</v>
      </c>
      <c r="N117" s="6" t="s">
        <v>21</v>
      </c>
    </row>
    <row r="118" spans="1:14">
      <c r="A118" s="6">
        <f t="shared" si="1"/>
        <v>117</v>
      </c>
      <c r="B118" s="7" t="s">
        <v>35</v>
      </c>
      <c r="C118" s="7"/>
      <c r="D118" s="19" t="s">
        <v>74</v>
      </c>
      <c r="E118" s="19" t="s">
        <v>102</v>
      </c>
      <c r="F118" s="7" t="s">
        <v>61</v>
      </c>
      <c r="G118" s="21">
        <v>45597</v>
      </c>
      <c r="H118" s="21">
        <v>45617</v>
      </c>
      <c r="I118" s="7">
        <f t="shared" si="0"/>
        <v>20</v>
      </c>
      <c r="J118" s="19">
        <v>1</v>
      </c>
      <c r="K118" s="19">
        <v>1</v>
      </c>
      <c r="L118" s="19">
        <v>1</v>
      </c>
      <c r="M118" s="19" t="s">
        <v>228</v>
      </c>
      <c r="N118" s="6" t="s">
        <v>21</v>
      </c>
    </row>
    <row r="119" spans="1:14">
      <c r="A119" s="6">
        <f t="shared" si="1"/>
        <v>118</v>
      </c>
      <c r="B119" s="7" t="s">
        <v>35</v>
      </c>
      <c r="C119" s="7"/>
      <c r="D119" s="19" t="s">
        <v>229</v>
      </c>
      <c r="E119" s="19" t="s">
        <v>118</v>
      </c>
      <c r="F119" s="7" t="s">
        <v>61</v>
      </c>
      <c r="G119" s="21">
        <v>45597</v>
      </c>
      <c r="H119" s="21">
        <v>45621</v>
      </c>
      <c r="I119" s="7">
        <f t="shared" si="0"/>
        <v>24</v>
      </c>
      <c r="J119" s="19">
        <v>1</v>
      </c>
      <c r="K119" s="19">
        <v>1</v>
      </c>
      <c r="L119" s="19">
        <v>1</v>
      </c>
      <c r="M119" s="19" t="s">
        <v>230</v>
      </c>
      <c r="N119" s="6" t="s">
        <v>21</v>
      </c>
    </row>
    <row r="120" spans="1:14">
      <c r="A120" s="6">
        <f t="shared" si="1"/>
        <v>119</v>
      </c>
      <c r="B120" s="7" t="s">
        <v>35</v>
      </c>
      <c r="C120" s="7"/>
      <c r="D120" s="19" t="s">
        <v>98</v>
      </c>
      <c r="E120" s="19" t="s">
        <v>75</v>
      </c>
      <c r="F120" s="7" t="s">
        <v>61</v>
      </c>
      <c r="G120" s="21">
        <v>45597</v>
      </c>
      <c r="H120" s="21">
        <v>45621</v>
      </c>
      <c r="I120" s="7">
        <f t="shared" si="0"/>
        <v>24</v>
      </c>
      <c r="J120" s="19">
        <v>1</v>
      </c>
      <c r="K120" s="19">
        <v>1</v>
      </c>
      <c r="L120" s="19">
        <v>1</v>
      </c>
      <c r="M120" s="19" t="s">
        <v>231</v>
      </c>
      <c r="N120" s="6" t="s">
        <v>21</v>
      </c>
    </row>
    <row r="121" spans="1:14">
      <c r="A121" s="6">
        <f t="shared" si="1"/>
        <v>120</v>
      </c>
      <c r="B121" s="7" t="s">
        <v>35</v>
      </c>
      <c r="C121" s="7"/>
      <c r="D121" s="19" t="s">
        <v>232</v>
      </c>
      <c r="E121" s="19" t="s">
        <v>150</v>
      </c>
      <c r="F121" s="7" t="s">
        <v>61</v>
      </c>
      <c r="G121" s="21">
        <v>45627</v>
      </c>
      <c r="H121" s="21">
        <v>45628</v>
      </c>
      <c r="I121" s="7">
        <f t="shared" si="0"/>
        <v>1</v>
      </c>
      <c r="J121" s="19">
        <v>1</v>
      </c>
      <c r="K121" s="19">
        <v>1</v>
      </c>
      <c r="L121" s="19">
        <v>1</v>
      </c>
      <c r="M121" s="19" t="s">
        <v>233</v>
      </c>
      <c r="N121" s="6" t="s">
        <v>21</v>
      </c>
    </row>
    <row r="122" spans="1:14">
      <c r="A122" s="6">
        <f t="shared" si="1"/>
        <v>121</v>
      </c>
      <c r="B122" s="7" t="s">
        <v>35</v>
      </c>
      <c r="C122" s="7"/>
      <c r="D122" s="19" t="s">
        <v>70</v>
      </c>
      <c r="E122" s="19" t="s">
        <v>124</v>
      </c>
      <c r="F122" s="7" t="s">
        <v>61</v>
      </c>
      <c r="G122" s="21">
        <v>45627</v>
      </c>
      <c r="H122" s="21">
        <v>45628</v>
      </c>
      <c r="I122" s="7">
        <f t="shared" si="0"/>
        <v>1</v>
      </c>
      <c r="J122" s="19">
        <v>1</v>
      </c>
      <c r="K122" s="19">
        <v>1</v>
      </c>
      <c r="L122" s="19">
        <v>1</v>
      </c>
      <c r="M122" s="19" t="s">
        <v>234</v>
      </c>
      <c r="N122" s="6" t="s">
        <v>21</v>
      </c>
    </row>
    <row r="123" spans="1:14">
      <c r="A123" s="6">
        <f t="shared" si="1"/>
        <v>122</v>
      </c>
      <c r="B123" s="7" t="s">
        <v>35</v>
      </c>
      <c r="C123" s="7"/>
      <c r="D123" s="19" t="s">
        <v>70</v>
      </c>
      <c r="E123" s="19" t="s">
        <v>75</v>
      </c>
      <c r="F123" s="7" t="s">
        <v>61</v>
      </c>
      <c r="G123" s="21">
        <v>45627</v>
      </c>
      <c r="H123" s="21">
        <v>45628</v>
      </c>
      <c r="I123" s="7">
        <f t="shared" si="0"/>
        <v>1</v>
      </c>
      <c r="J123" s="19">
        <v>1</v>
      </c>
      <c r="K123" s="19">
        <v>1</v>
      </c>
      <c r="L123" s="19">
        <v>1</v>
      </c>
      <c r="M123" s="19" t="s">
        <v>235</v>
      </c>
      <c r="N123" s="6" t="s">
        <v>21</v>
      </c>
    </row>
    <row r="124" spans="1:14">
      <c r="A124" s="6">
        <f t="shared" si="1"/>
        <v>123</v>
      </c>
      <c r="B124" s="7" t="s">
        <v>35</v>
      </c>
      <c r="C124" s="7"/>
      <c r="D124" s="19" t="s">
        <v>98</v>
      </c>
      <c r="E124" s="19" t="s">
        <v>66</v>
      </c>
      <c r="F124" s="7" t="s">
        <v>61</v>
      </c>
      <c r="G124" s="21">
        <v>45627</v>
      </c>
      <c r="H124" s="21">
        <v>45632</v>
      </c>
      <c r="I124" s="7">
        <f t="shared" si="0"/>
        <v>5</v>
      </c>
      <c r="J124" s="19">
        <v>1</v>
      </c>
      <c r="K124" s="19">
        <v>1</v>
      </c>
      <c r="L124" s="19">
        <v>1</v>
      </c>
      <c r="M124" s="19" t="s">
        <v>236</v>
      </c>
      <c r="N124" s="6" t="s">
        <v>21</v>
      </c>
    </row>
    <row r="125" spans="1:14">
      <c r="A125" s="6">
        <f t="shared" si="1"/>
        <v>124</v>
      </c>
      <c r="B125" s="7" t="s">
        <v>35</v>
      </c>
      <c r="C125" s="7"/>
      <c r="D125" s="19" t="s">
        <v>70</v>
      </c>
      <c r="E125" s="19" t="s">
        <v>75</v>
      </c>
      <c r="F125" s="7" t="s">
        <v>61</v>
      </c>
      <c r="G125" s="21">
        <v>45627</v>
      </c>
      <c r="H125" s="21">
        <v>45637</v>
      </c>
      <c r="I125" s="7">
        <f t="shared" si="0"/>
        <v>10</v>
      </c>
      <c r="J125" s="19">
        <v>1</v>
      </c>
      <c r="K125" s="19">
        <v>1</v>
      </c>
      <c r="L125" s="19">
        <v>1</v>
      </c>
      <c r="M125" s="19" t="s">
        <v>169</v>
      </c>
      <c r="N125" s="6" t="s">
        <v>21</v>
      </c>
    </row>
    <row r="126" spans="1:14">
      <c r="A126" s="6">
        <f t="shared" si="1"/>
        <v>125</v>
      </c>
      <c r="B126" s="7" t="s">
        <v>35</v>
      </c>
      <c r="C126" s="7"/>
      <c r="D126" s="19" t="s">
        <v>70</v>
      </c>
      <c r="E126" s="19" t="s">
        <v>124</v>
      </c>
      <c r="F126" s="7" t="s">
        <v>61</v>
      </c>
      <c r="G126" s="21">
        <v>45627</v>
      </c>
      <c r="H126" s="21">
        <v>45637</v>
      </c>
      <c r="I126" s="7">
        <f t="shared" si="0"/>
        <v>10</v>
      </c>
      <c r="J126" s="19">
        <v>1</v>
      </c>
      <c r="K126" s="19">
        <v>1</v>
      </c>
      <c r="L126" s="19">
        <v>1</v>
      </c>
      <c r="M126" s="19" t="s">
        <v>237</v>
      </c>
      <c r="N126" s="6" t="s">
        <v>21</v>
      </c>
    </row>
    <row r="127" spans="1:14">
      <c r="A127" s="6">
        <f t="shared" si="1"/>
        <v>126</v>
      </c>
      <c r="B127" s="7" t="s">
        <v>15</v>
      </c>
      <c r="C127" s="7" t="s">
        <v>16</v>
      </c>
      <c r="D127" s="19" t="s">
        <v>238</v>
      </c>
      <c r="E127" s="19" t="s">
        <v>239</v>
      </c>
      <c r="F127" s="7" t="s">
        <v>61</v>
      </c>
      <c r="G127" s="21">
        <v>45627</v>
      </c>
      <c r="H127" s="21">
        <v>45642</v>
      </c>
      <c r="I127" s="7">
        <f t="shared" si="0"/>
        <v>15</v>
      </c>
      <c r="J127" s="19">
        <v>1</v>
      </c>
      <c r="K127" s="19">
        <v>1</v>
      </c>
      <c r="L127" s="19">
        <v>1</v>
      </c>
      <c r="M127" s="19" t="s">
        <v>240</v>
      </c>
      <c r="N127" s="6" t="s">
        <v>21</v>
      </c>
    </row>
    <row r="128" spans="1:14">
      <c r="A128" s="6">
        <f t="shared" si="1"/>
        <v>127</v>
      </c>
      <c r="B128" s="7" t="s">
        <v>35</v>
      </c>
      <c r="C128" s="7" t="s">
        <v>16</v>
      </c>
      <c r="D128" s="19" t="s">
        <v>70</v>
      </c>
      <c r="E128" s="19" t="s">
        <v>66</v>
      </c>
      <c r="F128" s="7" t="s">
        <v>61</v>
      </c>
      <c r="G128" s="21">
        <v>45627</v>
      </c>
      <c r="H128" s="21">
        <v>45645</v>
      </c>
      <c r="I128" s="7">
        <f t="shared" si="0"/>
        <v>18</v>
      </c>
      <c r="J128" s="19">
        <v>1</v>
      </c>
      <c r="K128" s="19">
        <v>1</v>
      </c>
      <c r="L128" s="19">
        <v>1</v>
      </c>
      <c r="M128" s="19" t="s">
        <v>241</v>
      </c>
      <c r="N128" s="6" t="s">
        <v>21</v>
      </c>
    </row>
    <row r="129" spans="1:14">
      <c r="A129" s="6">
        <f t="shared" si="1"/>
        <v>128</v>
      </c>
      <c r="B129" s="7" t="s">
        <v>35</v>
      </c>
      <c r="C129" s="7" t="s">
        <v>16</v>
      </c>
      <c r="D129" s="19" t="s">
        <v>98</v>
      </c>
      <c r="E129" s="19" t="s">
        <v>75</v>
      </c>
      <c r="F129" s="7" t="s">
        <v>61</v>
      </c>
      <c r="G129" s="21">
        <v>45627</v>
      </c>
      <c r="H129" s="21">
        <v>45650</v>
      </c>
      <c r="I129" s="7">
        <f t="shared" si="0"/>
        <v>23</v>
      </c>
      <c r="J129" s="19">
        <v>1</v>
      </c>
      <c r="K129" s="19">
        <v>1</v>
      </c>
      <c r="L129" s="19">
        <v>1</v>
      </c>
      <c r="M129" s="19" t="s">
        <v>242</v>
      </c>
      <c r="N129" s="6" t="s">
        <v>21</v>
      </c>
    </row>
    <row r="130" spans="1:14">
      <c r="A130" s="6">
        <f t="shared" si="1"/>
        <v>129</v>
      </c>
      <c r="B130" s="7" t="s">
        <v>35</v>
      </c>
      <c r="C130" s="7" t="s">
        <v>16</v>
      </c>
      <c r="D130" s="19" t="s">
        <v>105</v>
      </c>
      <c r="E130" s="19" t="s">
        <v>66</v>
      </c>
      <c r="F130" s="7" t="s">
        <v>61</v>
      </c>
      <c r="G130" s="21">
        <v>45658</v>
      </c>
      <c r="H130" s="21">
        <v>45659</v>
      </c>
      <c r="I130" s="7">
        <f t="shared" si="0"/>
        <v>1</v>
      </c>
      <c r="J130" s="19">
        <v>1</v>
      </c>
      <c r="K130" s="19">
        <v>1</v>
      </c>
      <c r="L130" s="19">
        <v>1</v>
      </c>
      <c r="M130" s="19" t="s">
        <v>243</v>
      </c>
      <c r="N130" s="6" t="s">
        <v>21</v>
      </c>
    </row>
    <row r="131" spans="1:14">
      <c r="A131" s="6">
        <f t="shared" si="1"/>
        <v>130</v>
      </c>
      <c r="B131" s="7" t="s">
        <v>35</v>
      </c>
      <c r="C131" s="7" t="s">
        <v>16</v>
      </c>
      <c r="D131" s="19" t="s">
        <v>74</v>
      </c>
      <c r="E131" s="19" t="s">
        <v>239</v>
      </c>
      <c r="F131" s="7" t="s">
        <v>61</v>
      </c>
      <c r="G131" s="21">
        <v>45658</v>
      </c>
      <c r="H131" s="21">
        <v>45664</v>
      </c>
      <c r="I131" s="7">
        <f t="shared" si="0"/>
        <v>6</v>
      </c>
      <c r="J131" s="19">
        <v>1</v>
      </c>
      <c r="K131" s="19">
        <v>1</v>
      </c>
      <c r="L131" s="19">
        <v>1</v>
      </c>
      <c r="M131" s="19" t="s">
        <v>244</v>
      </c>
      <c r="N131" s="6" t="s">
        <v>21</v>
      </c>
    </row>
    <row r="132" spans="1:14" ht="30.75">
      <c r="A132" s="6">
        <f t="shared" si="1"/>
        <v>131</v>
      </c>
      <c r="B132" s="7" t="s">
        <v>15</v>
      </c>
      <c r="C132" s="7" t="s">
        <v>16</v>
      </c>
      <c r="D132" s="22" t="s">
        <v>245</v>
      </c>
      <c r="E132" s="22" t="s">
        <v>246</v>
      </c>
      <c r="F132" s="7" t="s">
        <v>61</v>
      </c>
      <c r="G132" s="21">
        <v>45658</v>
      </c>
      <c r="H132" s="21">
        <v>45670</v>
      </c>
      <c r="I132" s="7">
        <f t="shared" si="0"/>
        <v>12</v>
      </c>
      <c r="J132" s="19">
        <v>1</v>
      </c>
      <c r="K132" s="19">
        <v>1</v>
      </c>
      <c r="L132" s="19">
        <v>1</v>
      </c>
      <c r="M132" s="19" t="s">
        <v>247</v>
      </c>
      <c r="N132" s="6" t="s">
        <v>21</v>
      </c>
    </row>
    <row r="133" spans="1:14">
      <c r="A133" s="6">
        <f t="shared" si="1"/>
        <v>132</v>
      </c>
      <c r="B133" s="7" t="s">
        <v>15</v>
      </c>
      <c r="C133" s="7" t="s">
        <v>248</v>
      </c>
      <c r="D133" s="19" t="s">
        <v>249</v>
      </c>
      <c r="E133" s="19" t="s">
        <v>250</v>
      </c>
      <c r="F133" s="7" t="s">
        <v>61</v>
      </c>
      <c r="G133" s="21">
        <v>45658</v>
      </c>
      <c r="H133" s="21">
        <v>45672</v>
      </c>
      <c r="I133" s="7">
        <f t="shared" si="0"/>
        <v>14</v>
      </c>
      <c r="J133" s="19">
        <v>1</v>
      </c>
      <c r="K133" s="19">
        <v>1</v>
      </c>
      <c r="L133" s="19">
        <v>1</v>
      </c>
      <c r="M133" s="19" t="s">
        <v>251</v>
      </c>
      <c r="N133" s="6" t="s">
        <v>21</v>
      </c>
    </row>
  </sheetData>
  <autoFilter ref="A1:N130" xr:uid="{00000000-0009-0000-0000-000001000000}"/>
  <dataValidations count="2">
    <dataValidation type="list" allowBlank="1" showErrorMessage="1" sqref="C2:C133" xr:uid="{00000000-0002-0000-0100-000000000000}">
      <formula1>"Официальный,Неофициальный"</formula1>
    </dataValidation>
    <dataValidation type="list" allowBlank="1" showErrorMessage="1" sqref="B2:B133" xr:uid="{00000000-0002-0000-01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"/>
  <sheetViews>
    <sheetView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4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4" ht="30.75" customHeight="1">
      <c r="A2" s="3">
        <v>1</v>
      </c>
      <c r="B2" s="4" t="s">
        <v>15</v>
      </c>
      <c r="C2" s="4" t="s">
        <v>16</v>
      </c>
      <c r="D2" s="4" t="s">
        <v>252</v>
      </c>
      <c r="E2" s="4" t="s">
        <v>253</v>
      </c>
      <c r="F2" s="4" t="s">
        <v>254</v>
      </c>
      <c r="G2" s="5">
        <v>45566</v>
      </c>
      <c r="H2" s="23">
        <v>45597</v>
      </c>
      <c r="I2" s="4">
        <f t="shared" ref="I2:I6" si="0">H2-G2</f>
        <v>31</v>
      </c>
      <c r="J2" s="4">
        <v>1</v>
      </c>
      <c r="K2" s="4">
        <v>1</v>
      </c>
      <c r="L2" s="3">
        <v>1</v>
      </c>
      <c r="M2" s="3" t="s">
        <v>255</v>
      </c>
      <c r="N2" s="3" t="s">
        <v>21</v>
      </c>
    </row>
    <row r="3" spans="1:14" ht="27.75" customHeight="1">
      <c r="A3" s="6">
        <f t="shared" ref="A3:A8" si="1">A2+1</f>
        <v>2</v>
      </c>
      <c r="B3" s="7" t="s">
        <v>15</v>
      </c>
      <c r="C3" s="4" t="s">
        <v>16</v>
      </c>
      <c r="D3" s="7" t="s">
        <v>256</v>
      </c>
      <c r="E3" s="7" t="s">
        <v>253</v>
      </c>
      <c r="F3" s="7" t="s">
        <v>254</v>
      </c>
      <c r="G3" s="8">
        <v>45568</v>
      </c>
      <c r="H3" s="24">
        <v>45597</v>
      </c>
      <c r="I3" s="7">
        <f t="shared" si="0"/>
        <v>29</v>
      </c>
      <c r="J3" s="7">
        <v>1</v>
      </c>
      <c r="K3" s="7">
        <v>1</v>
      </c>
      <c r="L3" s="6">
        <v>1</v>
      </c>
      <c r="M3" s="6" t="s">
        <v>257</v>
      </c>
      <c r="N3" s="6" t="s">
        <v>21</v>
      </c>
    </row>
    <row r="4" spans="1:14" ht="30.75" customHeight="1">
      <c r="A4" s="6">
        <f t="shared" si="1"/>
        <v>3</v>
      </c>
      <c r="B4" s="7" t="s">
        <v>25</v>
      </c>
      <c r="C4" s="4" t="s">
        <v>16</v>
      </c>
      <c r="D4" s="7" t="s">
        <v>258</v>
      </c>
      <c r="E4" s="7" t="s">
        <v>259</v>
      </c>
      <c r="F4" s="7" t="s">
        <v>254</v>
      </c>
      <c r="G4" s="8">
        <v>45568</v>
      </c>
      <c r="H4" s="24">
        <v>45597</v>
      </c>
      <c r="I4" s="7">
        <f t="shared" si="0"/>
        <v>29</v>
      </c>
      <c r="J4" s="7">
        <v>1</v>
      </c>
      <c r="K4" s="7">
        <v>2</v>
      </c>
      <c r="L4" s="6">
        <v>1</v>
      </c>
      <c r="M4" s="6" t="s">
        <v>260</v>
      </c>
      <c r="N4" s="6" t="s">
        <v>21</v>
      </c>
    </row>
    <row r="5" spans="1:14" ht="31.5">
      <c r="A5" s="6">
        <f t="shared" si="1"/>
        <v>4</v>
      </c>
      <c r="B5" s="7" t="s">
        <v>35</v>
      </c>
      <c r="C5" s="4" t="s">
        <v>16</v>
      </c>
      <c r="D5" s="7" t="s">
        <v>261</v>
      </c>
      <c r="E5" s="7" t="s">
        <v>262</v>
      </c>
      <c r="F5" s="7" t="s">
        <v>254</v>
      </c>
      <c r="G5" s="8">
        <v>45611</v>
      </c>
      <c r="H5" s="24">
        <v>45628</v>
      </c>
      <c r="I5" s="7">
        <f t="shared" si="0"/>
        <v>17</v>
      </c>
      <c r="J5" s="7">
        <v>1</v>
      </c>
      <c r="K5" s="7">
        <v>1</v>
      </c>
      <c r="L5" s="6">
        <v>1</v>
      </c>
      <c r="M5" s="6" t="s">
        <v>263</v>
      </c>
      <c r="N5" s="6" t="s">
        <v>21</v>
      </c>
    </row>
    <row r="6" spans="1:14" ht="31.5">
      <c r="A6" s="6">
        <f t="shared" si="1"/>
        <v>5</v>
      </c>
      <c r="B6" s="7" t="s">
        <v>25</v>
      </c>
      <c r="C6" s="4" t="s">
        <v>16</v>
      </c>
      <c r="D6" s="7" t="s">
        <v>264</v>
      </c>
      <c r="E6" s="7" t="s">
        <v>265</v>
      </c>
      <c r="F6" s="7" t="s">
        <v>254</v>
      </c>
      <c r="G6" s="8">
        <v>45614</v>
      </c>
      <c r="H6" s="24">
        <v>45628</v>
      </c>
      <c r="I6" s="7">
        <f t="shared" si="0"/>
        <v>14</v>
      </c>
      <c r="J6" s="7">
        <v>1</v>
      </c>
      <c r="K6" s="7">
        <v>1</v>
      </c>
      <c r="L6" s="6">
        <v>1</v>
      </c>
      <c r="M6" s="6" t="s">
        <v>266</v>
      </c>
      <c r="N6" s="6" t="s">
        <v>21</v>
      </c>
    </row>
    <row r="7" spans="1:14" ht="27" customHeight="1">
      <c r="A7" s="6">
        <f t="shared" si="1"/>
        <v>6</v>
      </c>
      <c r="B7" s="7" t="s">
        <v>35</v>
      </c>
      <c r="C7" s="4" t="s">
        <v>16</v>
      </c>
      <c r="D7" s="7" t="s">
        <v>267</v>
      </c>
      <c r="E7" s="7" t="s">
        <v>253</v>
      </c>
      <c r="F7" s="7" t="s">
        <v>254</v>
      </c>
      <c r="G7" s="8">
        <v>45558</v>
      </c>
      <c r="H7" s="24">
        <v>45691</v>
      </c>
      <c r="I7" s="7"/>
      <c r="J7" s="7">
        <v>1</v>
      </c>
      <c r="K7" s="7">
        <v>1</v>
      </c>
      <c r="L7" s="6">
        <v>1</v>
      </c>
      <c r="M7" s="6" t="s">
        <v>268</v>
      </c>
      <c r="N7" s="6" t="s">
        <v>49</v>
      </c>
    </row>
    <row r="8" spans="1:14" ht="27.75" customHeight="1">
      <c r="A8" s="6">
        <f t="shared" si="1"/>
        <v>7</v>
      </c>
      <c r="B8" s="7" t="s">
        <v>35</v>
      </c>
      <c r="C8" s="4" t="s">
        <v>16</v>
      </c>
      <c r="D8" s="7" t="s">
        <v>269</v>
      </c>
      <c r="E8" s="7" t="s">
        <v>253</v>
      </c>
      <c r="F8" s="7" t="s">
        <v>254</v>
      </c>
      <c r="G8" s="8">
        <v>45568</v>
      </c>
      <c r="H8" s="24">
        <v>45691</v>
      </c>
      <c r="I8" s="7"/>
      <c r="J8" s="7">
        <v>1</v>
      </c>
      <c r="K8" s="7">
        <v>1</v>
      </c>
      <c r="L8" s="6">
        <v>1</v>
      </c>
      <c r="M8" s="6" t="s">
        <v>270</v>
      </c>
      <c r="N8" s="6" t="s">
        <v>49</v>
      </c>
    </row>
    <row r="9" spans="1:14" ht="27.75" customHeight="1">
      <c r="A9" s="25">
        <v>8</v>
      </c>
      <c r="B9" s="26" t="s">
        <v>35</v>
      </c>
      <c r="C9" s="26" t="s">
        <v>16</v>
      </c>
      <c r="D9" s="7" t="s">
        <v>256</v>
      </c>
      <c r="E9" s="7" t="s">
        <v>253</v>
      </c>
      <c r="F9" s="7" t="s">
        <v>254</v>
      </c>
      <c r="G9" s="27">
        <v>45706</v>
      </c>
      <c r="H9" s="28">
        <v>45712</v>
      </c>
      <c r="I9" s="26"/>
      <c r="J9" s="26">
        <v>1</v>
      </c>
      <c r="K9" s="26">
        <v>1</v>
      </c>
      <c r="L9" s="25">
        <v>1</v>
      </c>
      <c r="M9" s="25" t="s">
        <v>271</v>
      </c>
      <c r="N9" s="25" t="s">
        <v>21</v>
      </c>
    </row>
    <row r="10" spans="1:14" ht="27.75" customHeight="1">
      <c r="A10" s="25">
        <v>9</v>
      </c>
      <c r="B10" s="26" t="s">
        <v>15</v>
      </c>
      <c r="C10" s="26" t="s">
        <v>16</v>
      </c>
      <c r="D10" s="7" t="s">
        <v>258</v>
      </c>
      <c r="E10" s="7" t="s">
        <v>259</v>
      </c>
      <c r="F10" s="7" t="s">
        <v>254</v>
      </c>
      <c r="G10" s="27">
        <v>45705</v>
      </c>
      <c r="H10" s="28">
        <v>45712</v>
      </c>
      <c r="I10" s="26"/>
      <c r="J10" s="26">
        <v>1</v>
      </c>
      <c r="K10" s="26">
        <v>1</v>
      </c>
      <c r="L10" s="25">
        <v>1</v>
      </c>
      <c r="M10" s="25" t="s">
        <v>272</v>
      </c>
      <c r="N10" s="25" t="s">
        <v>21</v>
      </c>
    </row>
  </sheetData>
  <autoFilter ref="A1:N11" xr:uid="{00000000-0009-0000-0000-000002000000}"/>
  <dataValidations count="2">
    <dataValidation type="list" allowBlank="1" showErrorMessage="1" sqref="C2:C10" xr:uid="{00000000-0002-0000-0200-000000000000}">
      <formula1>"Официальный,Неофициальный"</formula1>
    </dataValidation>
    <dataValidation type="list" allowBlank="1" showErrorMessage="1" sqref="B2:B10" xr:uid="{00000000-0002-0000-02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6"/>
  <sheetViews>
    <sheetView workbookViewId="0">
      <selection activeCell="F6" sqref="F6"/>
    </sheetView>
  </sheetViews>
  <sheetFormatPr defaultColWidth="12.5703125" defaultRowHeight="15.75" customHeight="1"/>
  <cols>
    <col min="2" max="2" width="23.140625" customWidth="1"/>
    <col min="3" max="3" width="22.28515625" customWidth="1"/>
    <col min="4" max="4" width="38.140625" customWidth="1"/>
    <col min="5" max="5" width="31" customWidth="1"/>
    <col min="6" max="6" width="14.85546875" customWidth="1"/>
    <col min="7" max="7" width="19.42578125" customWidth="1"/>
    <col min="10" max="10" width="25.42578125" customWidth="1"/>
    <col min="11" max="11" width="31.7109375" customWidth="1"/>
  </cols>
  <sheetData>
    <row r="1" spans="1:11" ht="78.75">
      <c r="A1" s="29" t="s">
        <v>0</v>
      </c>
      <c r="B1" s="30" t="s">
        <v>6</v>
      </c>
      <c r="C1" s="29" t="s">
        <v>5</v>
      </c>
      <c r="D1" s="29" t="s">
        <v>4</v>
      </c>
      <c r="E1" s="29" t="s">
        <v>3</v>
      </c>
      <c r="F1" s="29" t="s">
        <v>273</v>
      </c>
      <c r="G1" s="30" t="s">
        <v>7</v>
      </c>
      <c r="H1" s="30" t="s">
        <v>274</v>
      </c>
      <c r="I1" s="30" t="s">
        <v>11</v>
      </c>
      <c r="J1" s="29" t="s">
        <v>275</v>
      </c>
      <c r="K1" s="31" t="s">
        <v>14</v>
      </c>
    </row>
    <row r="2" spans="1:11" ht="45">
      <c r="A2" s="32">
        <v>1</v>
      </c>
      <c r="B2" s="33">
        <v>45383</v>
      </c>
      <c r="C2" s="34" t="s">
        <v>276</v>
      </c>
      <c r="D2" s="34" t="s">
        <v>259</v>
      </c>
      <c r="E2" s="34" t="s">
        <v>277</v>
      </c>
      <c r="F2" s="34">
        <v>1</v>
      </c>
      <c r="G2" s="35"/>
      <c r="H2" s="34">
        <v>3</v>
      </c>
      <c r="I2" s="34"/>
      <c r="J2" s="36"/>
      <c r="K2" s="34" t="s">
        <v>278</v>
      </c>
    </row>
    <row r="3" spans="1:11" ht="45">
      <c r="A3" s="32">
        <v>2</v>
      </c>
      <c r="B3" s="33">
        <v>45383</v>
      </c>
      <c r="C3" s="34" t="s">
        <v>276</v>
      </c>
      <c r="D3" s="34" t="s">
        <v>253</v>
      </c>
      <c r="E3" s="34" t="s">
        <v>279</v>
      </c>
      <c r="F3" s="34">
        <v>1</v>
      </c>
      <c r="G3" s="35"/>
      <c r="H3" s="34">
        <v>1</v>
      </c>
      <c r="I3" s="34"/>
      <c r="J3" s="34"/>
      <c r="K3" s="34" t="s">
        <v>49</v>
      </c>
    </row>
    <row r="4" spans="1:11" ht="39" customHeight="1">
      <c r="A4" s="32">
        <v>3</v>
      </c>
      <c r="B4" s="33">
        <v>45383</v>
      </c>
      <c r="C4" s="34" t="s">
        <v>276</v>
      </c>
      <c r="D4" s="34" t="s">
        <v>23</v>
      </c>
      <c r="E4" s="34" t="s">
        <v>280</v>
      </c>
      <c r="F4" s="34">
        <v>1</v>
      </c>
      <c r="G4" s="35"/>
      <c r="H4" s="34">
        <v>2</v>
      </c>
      <c r="I4" s="35"/>
      <c r="J4" s="34"/>
      <c r="K4" s="34" t="s">
        <v>49</v>
      </c>
    </row>
    <row r="5" spans="1:11" ht="135">
      <c r="A5" s="32">
        <v>4</v>
      </c>
      <c r="B5" s="33">
        <v>45383</v>
      </c>
      <c r="C5" s="34" t="s">
        <v>276</v>
      </c>
      <c r="D5" s="34" t="s">
        <v>253</v>
      </c>
      <c r="E5" s="34" t="s">
        <v>281</v>
      </c>
      <c r="F5" s="34">
        <v>5</v>
      </c>
      <c r="G5" s="35"/>
      <c r="H5" s="34">
        <v>6</v>
      </c>
      <c r="I5" s="35">
        <v>4</v>
      </c>
      <c r="J5" s="37" t="s">
        <v>282</v>
      </c>
      <c r="K5" s="34" t="s">
        <v>283</v>
      </c>
    </row>
    <row r="6" spans="1:11" ht="120">
      <c r="A6" s="32">
        <v>5</v>
      </c>
      <c r="B6" s="33">
        <v>45383</v>
      </c>
      <c r="C6" s="34" t="s">
        <v>276</v>
      </c>
      <c r="D6" s="34" t="s">
        <v>253</v>
      </c>
      <c r="E6" s="34" t="s">
        <v>284</v>
      </c>
      <c r="F6" s="34">
        <v>9</v>
      </c>
      <c r="G6" s="35"/>
      <c r="H6" s="34">
        <v>7</v>
      </c>
      <c r="I6" s="35">
        <v>4</v>
      </c>
      <c r="J6" s="37" t="s">
        <v>285</v>
      </c>
      <c r="K6" s="34" t="s">
        <v>283</v>
      </c>
    </row>
    <row r="7" spans="1:11" ht="60">
      <c r="A7" s="32">
        <v>6</v>
      </c>
      <c r="B7" s="33">
        <v>45383</v>
      </c>
      <c r="C7" s="34" t="s">
        <v>276</v>
      </c>
      <c r="D7" s="34" t="s">
        <v>253</v>
      </c>
      <c r="E7" s="34" t="s">
        <v>286</v>
      </c>
      <c r="F7" s="34">
        <v>5</v>
      </c>
      <c r="G7" s="35"/>
      <c r="H7" s="34">
        <v>2</v>
      </c>
      <c r="I7" s="34">
        <v>2</v>
      </c>
      <c r="J7" s="37" t="s">
        <v>287</v>
      </c>
      <c r="K7" s="34" t="s">
        <v>283</v>
      </c>
    </row>
    <row r="8" spans="1:11" ht="45">
      <c r="A8" s="32">
        <v>7</v>
      </c>
      <c r="B8" s="33">
        <v>45536</v>
      </c>
      <c r="C8" s="34" t="s">
        <v>276</v>
      </c>
      <c r="D8" s="34" t="s">
        <v>259</v>
      </c>
      <c r="E8" s="34" t="s">
        <v>277</v>
      </c>
      <c r="F8" s="34">
        <v>1</v>
      </c>
      <c r="G8" s="35"/>
      <c r="H8" s="34">
        <v>1</v>
      </c>
      <c r="I8" s="34"/>
      <c r="J8" s="36"/>
      <c r="K8" s="34" t="s">
        <v>288</v>
      </c>
    </row>
    <row r="9" spans="1:11" ht="90">
      <c r="A9" s="38">
        <v>8</v>
      </c>
      <c r="B9" s="33">
        <v>45536</v>
      </c>
      <c r="C9" s="34" t="s">
        <v>276</v>
      </c>
      <c r="D9" s="34" t="s">
        <v>253</v>
      </c>
      <c r="E9" s="34" t="s">
        <v>279</v>
      </c>
      <c r="F9" s="34">
        <v>1</v>
      </c>
      <c r="G9" s="35"/>
      <c r="H9" s="34">
        <v>1</v>
      </c>
      <c r="I9" s="34"/>
      <c r="J9" s="34" t="s">
        <v>289</v>
      </c>
      <c r="K9" s="34" t="s">
        <v>49</v>
      </c>
    </row>
    <row r="10" spans="1:11" ht="45">
      <c r="A10" s="38">
        <v>9</v>
      </c>
      <c r="B10" s="33">
        <v>45536</v>
      </c>
      <c r="C10" s="34" t="s">
        <v>276</v>
      </c>
      <c r="D10" s="34" t="s">
        <v>23</v>
      </c>
      <c r="E10" s="34" t="s">
        <v>280</v>
      </c>
      <c r="F10" s="34">
        <v>1</v>
      </c>
      <c r="G10" s="35"/>
      <c r="H10" s="34">
        <v>1</v>
      </c>
      <c r="I10" s="35"/>
      <c r="J10" s="34"/>
      <c r="K10" s="34" t="s">
        <v>49</v>
      </c>
    </row>
    <row r="11" spans="1:11" ht="90">
      <c r="A11" s="32">
        <v>10</v>
      </c>
      <c r="B11" s="33">
        <v>45536</v>
      </c>
      <c r="C11" s="34" t="s">
        <v>276</v>
      </c>
      <c r="D11" s="34" t="s">
        <v>253</v>
      </c>
      <c r="E11" s="34" t="s">
        <v>281</v>
      </c>
      <c r="F11" s="34">
        <v>4</v>
      </c>
      <c r="G11" s="35"/>
      <c r="H11" s="34">
        <v>3</v>
      </c>
      <c r="I11" s="35"/>
      <c r="J11" s="37" t="s">
        <v>290</v>
      </c>
      <c r="K11" s="34" t="s">
        <v>283</v>
      </c>
    </row>
    <row r="12" spans="1:11" ht="90">
      <c r="A12" s="32">
        <v>11</v>
      </c>
      <c r="B12" s="33">
        <v>45536</v>
      </c>
      <c r="C12" s="34" t="s">
        <v>276</v>
      </c>
      <c r="D12" s="34" t="s">
        <v>253</v>
      </c>
      <c r="E12" s="34" t="s">
        <v>284</v>
      </c>
      <c r="F12" s="34">
        <v>7</v>
      </c>
      <c r="G12" s="35"/>
      <c r="H12" s="34">
        <v>3</v>
      </c>
      <c r="I12" s="35"/>
      <c r="J12" s="37" t="s">
        <v>291</v>
      </c>
      <c r="K12" s="34" t="s">
        <v>283</v>
      </c>
    </row>
    <row r="13" spans="1:11" ht="90">
      <c r="A13" s="32">
        <v>12</v>
      </c>
      <c r="B13" s="33">
        <v>45536</v>
      </c>
      <c r="C13" s="34" t="s">
        <v>276</v>
      </c>
      <c r="D13" s="34" t="s">
        <v>253</v>
      </c>
      <c r="E13" s="34" t="s">
        <v>286</v>
      </c>
      <c r="F13" s="34">
        <v>3</v>
      </c>
      <c r="G13" s="35"/>
      <c r="H13" s="34">
        <v>3</v>
      </c>
      <c r="I13" s="34"/>
      <c r="J13" s="37" t="s">
        <v>292</v>
      </c>
      <c r="K13" s="34" t="s">
        <v>283</v>
      </c>
    </row>
    <row r="14" spans="1:11" ht="45">
      <c r="A14" s="38">
        <v>13</v>
      </c>
      <c r="B14" s="33">
        <v>45628</v>
      </c>
      <c r="C14" s="34" t="s">
        <v>276</v>
      </c>
      <c r="D14" s="34" t="s">
        <v>259</v>
      </c>
      <c r="E14" s="34" t="s">
        <v>277</v>
      </c>
      <c r="F14" s="34">
        <v>1</v>
      </c>
      <c r="G14" s="38"/>
      <c r="H14" s="38"/>
      <c r="I14" s="38"/>
      <c r="J14" s="38"/>
      <c r="K14" s="34" t="s">
        <v>49</v>
      </c>
    </row>
    <row r="15" spans="1:11" ht="45">
      <c r="A15" s="38">
        <v>14</v>
      </c>
      <c r="B15" s="33">
        <v>45628</v>
      </c>
      <c r="C15" s="34" t="s">
        <v>276</v>
      </c>
      <c r="D15" s="34" t="s">
        <v>253</v>
      </c>
      <c r="E15" s="34" t="s">
        <v>293</v>
      </c>
      <c r="F15" s="34">
        <v>1</v>
      </c>
      <c r="G15" s="38"/>
      <c r="H15" s="38"/>
      <c r="I15" s="38"/>
      <c r="J15" s="38"/>
      <c r="K15" s="34" t="s">
        <v>49</v>
      </c>
    </row>
    <row r="16" spans="1:11" ht="45">
      <c r="A16" s="38">
        <v>15</v>
      </c>
      <c r="B16" s="33">
        <v>45628</v>
      </c>
      <c r="C16" s="34" t="s">
        <v>276</v>
      </c>
      <c r="D16" s="34" t="s">
        <v>253</v>
      </c>
      <c r="E16" s="34" t="s">
        <v>149</v>
      </c>
      <c r="F16" s="34">
        <v>3</v>
      </c>
      <c r="G16" s="38"/>
      <c r="H16" s="38"/>
      <c r="I16" s="38"/>
      <c r="J16" s="38"/>
      <c r="K16" s="34" t="s">
        <v>49</v>
      </c>
    </row>
    <row r="17" spans="1:14" ht="45">
      <c r="A17" s="38">
        <v>16</v>
      </c>
      <c r="B17" s="33">
        <v>45667</v>
      </c>
      <c r="C17" s="34" t="s">
        <v>276</v>
      </c>
      <c r="D17" s="34" t="s">
        <v>259</v>
      </c>
      <c r="E17" s="34" t="s">
        <v>277</v>
      </c>
      <c r="F17" s="34">
        <v>1</v>
      </c>
      <c r="G17" s="38"/>
      <c r="H17" s="38"/>
      <c r="I17" s="38"/>
      <c r="J17" s="38"/>
      <c r="K17" s="34" t="s">
        <v>49</v>
      </c>
    </row>
    <row r="18" spans="1:14" ht="45">
      <c r="A18" s="38">
        <v>17</v>
      </c>
      <c r="B18" s="33">
        <v>45667</v>
      </c>
      <c r="C18" s="34" t="s">
        <v>276</v>
      </c>
      <c r="D18" s="34" t="s">
        <v>253</v>
      </c>
      <c r="E18" s="34" t="s">
        <v>284</v>
      </c>
      <c r="F18" s="34">
        <v>3</v>
      </c>
      <c r="G18" s="38"/>
      <c r="H18" s="38">
        <v>1</v>
      </c>
      <c r="I18" s="38"/>
      <c r="J18" s="38" t="s">
        <v>294</v>
      </c>
      <c r="K18" s="34" t="s">
        <v>49</v>
      </c>
    </row>
    <row r="19" spans="1:14" ht="45">
      <c r="A19" s="38">
        <v>18</v>
      </c>
      <c r="B19" s="33">
        <v>45667</v>
      </c>
      <c r="C19" s="34" t="s">
        <v>276</v>
      </c>
      <c r="D19" s="34" t="s">
        <v>253</v>
      </c>
      <c r="E19" s="34" t="s">
        <v>281</v>
      </c>
      <c r="F19" s="34">
        <v>3</v>
      </c>
      <c r="G19" s="35"/>
      <c r="H19" s="34"/>
      <c r="I19" s="35"/>
      <c r="J19" s="37"/>
      <c r="K19" s="34" t="s">
        <v>49</v>
      </c>
    </row>
    <row r="20" spans="1:14" ht="45">
      <c r="A20" s="38">
        <v>19</v>
      </c>
      <c r="B20" s="33">
        <v>45667</v>
      </c>
      <c r="C20" s="34" t="s">
        <v>276</v>
      </c>
      <c r="D20" s="34" t="s">
        <v>253</v>
      </c>
      <c r="E20" s="34" t="s">
        <v>295</v>
      </c>
      <c r="F20" s="34">
        <v>3</v>
      </c>
      <c r="G20" s="35"/>
      <c r="H20" s="34">
        <v>1</v>
      </c>
      <c r="I20" s="35"/>
      <c r="J20" s="37" t="s">
        <v>296</v>
      </c>
      <c r="K20" s="34" t="s">
        <v>49</v>
      </c>
    </row>
    <row r="21" spans="1:14" ht="60">
      <c r="A21" s="38">
        <v>20</v>
      </c>
      <c r="B21" s="33">
        <v>45667</v>
      </c>
      <c r="C21" s="34" t="s">
        <v>276</v>
      </c>
      <c r="D21" s="34" t="s">
        <v>253</v>
      </c>
      <c r="E21" s="34" t="s">
        <v>297</v>
      </c>
      <c r="F21" s="34">
        <v>3</v>
      </c>
      <c r="G21" s="35"/>
      <c r="H21" s="34">
        <v>2</v>
      </c>
      <c r="I21" s="34"/>
      <c r="J21" s="37" t="s">
        <v>298</v>
      </c>
      <c r="K21" s="34" t="s">
        <v>49</v>
      </c>
    </row>
    <row r="22" spans="1:14" ht="45">
      <c r="A22" s="38">
        <v>21</v>
      </c>
      <c r="B22" s="33">
        <v>45667</v>
      </c>
      <c r="C22" s="34" t="s">
        <v>276</v>
      </c>
      <c r="D22" s="34" t="s">
        <v>253</v>
      </c>
      <c r="E22" s="34" t="s">
        <v>299</v>
      </c>
      <c r="F22" s="34">
        <v>3</v>
      </c>
      <c r="G22" s="35"/>
      <c r="H22" s="34"/>
      <c r="I22" s="34"/>
      <c r="J22" s="37"/>
      <c r="K22" s="34" t="s">
        <v>49</v>
      </c>
    </row>
    <row r="23" spans="1:14" ht="45">
      <c r="A23" s="38">
        <v>21</v>
      </c>
      <c r="B23" s="33">
        <v>45667</v>
      </c>
      <c r="C23" s="34" t="s">
        <v>276</v>
      </c>
      <c r="D23" s="34" t="s">
        <v>253</v>
      </c>
      <c r="E23" s="34" t="s">
        <v>300</v>
      </c>
      <c r="F23" s="34">
        <v>3</v>
      </c>
      <c r="G23" s="38"/>
      <c r="H23" s="38"/>
      <c r="I23" s="38"/>
      <c r="J23" s="38"/>
      <c r="K23" s="34" t="s">
        <v>49</v>
      </c>
    </row>
    <row r="24" spans="1:14">
      <c r="A24" s="6"/>
      <c r="B24" s="7"/>
      <c r="C24" s="7"/>
      <c r="D24" s="19"/>
      <c r="E24" s="19"/>
      <c r="F24" s="7"/>
      <c r="G24" s="21"/>
      <c r="H24" s="21"/>
      <c r="I24" s="7"/>
      <c r="J24" s="19"/>
      <c r="K24" s="19"/>
      <c r="L24" s="19"/>
      <c r="M24" s="19"/>
      <c r="N24" s="6"/>
    </row>
    <row r="25" spans="1:14">
      <c r="A25" s="6"/>
      <c r="B25" s="7"/>
      <c r="C25" s="7"/>
      <c r="D25" s="22"/>
      <c r="E25" s="22"/>
      <c r="F25" s="7"/>
      <c r="G25" s="21"/>
      <c r="H25" s="21"/>
      <c r="I25" s="7"/>
      <c r="J25" s="19"/>
      <c r="K25" s="19"/>
      <c r="L25" s="19"/>
      <c r="M25" s="19"/>
      <c r="N25" s="6"/>
    </row>
    <row r="26" spans="1:14">
      <c r="A26" s="6"/>
      <c r="B26" s="7"/>
      <c r="C26" s="7"/>
      <c r="D26" s="19"/>
      <c r="E26" s="19"/>
      <c r="F26" s="7"/>
      <c r="G26" s="21"/>
      <c r="H26" s="21"/>
      <c r="I26" s="7"/>
      <c r="J26" s="19"/>
      <c r="K26" s="19"/>
      <c r="L26" s="19"/>
      <c r="M26" s="19"/>
      <c r="N26" s="6"/>
    </row>
  </sheetData>
  <dataValidations count="2">
    <dataValidation type="list" allowBlank="1" showErrorMessage="1" sqref="C24:C26" xr:uid="{00000000-0002-0000-0300-000000000000}">
      <formula1>"Официальный,Неофициальный"</formula1>
    </dataValidation>
    <dataValidation type="list" allowBlank="1" showErrorMessage="1" sqref="B24:B26" xr:uid="{00000000-0002-0000-03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23"/>
  <sheetViews>
    <sheetView workbookViewId="0">
      <selection activeCell="F7" sqref="F7:F8"/>
    </sheetView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5" ht="47.2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1" t="s">
        <v>7</v>
      </c>
      <c r="I1" s="41" t="s">
        <v>8</v>
      </c>
      <c r="J1" s="40" t="s">
        <v>9</v>
      </c>
      <c r="K1" s="41" t="s">
        <v>10</v>
      </c>
      <c r="L1" s="41" t="s">
        <v>11</v>
      </c>
      <c r="M1" s="40" t="s">
        <v>12</v>
      </c>
      <c r="N1" s="42" t="s">
        <v>14</v>
      </c>
    </row>
    <row r="2" spans="1:15" ht="42.75" customHeight="1">
      <c r="A2" s="43">
        <v>1</v>
      </c>
      <c r="B2" s="44" t="s">
        <v>35</v>
      </c>
      <c r="C2" s="44" t="s">
        <v>248</v>
      </c>
      <c r="D2" s="44" t="s">
        <v>281</v>
      </c>
      <c r="E2" s="44" t="s">
        <v>253</v>
      </c>
      <c r="F2" s="44" t="s">
        <v>276</v>
      </c>
      <c r="G2" s="45">
        <v>45727</v>
      </c>
      <c r="H2" s="45"/>
      <c r="I2" s="44"/>
      <c r="J2" s="44"/>
      <c r="K2" s="44"/>
      <c r="L2" s="44"/>
      <c r="M2" s="46"/>
      <c r="N2" s="44" t="s">
        <v>283</v>
      </c>
    </row>
    <row r="3" spans="1:15" ht="50.25" customHeight="1">
      <c r="A3" s="43">
        <f t="shared" ref="A3:A17" si="0">A2+1</f>
        <v>2</v>
      </c>
      <c r="B3" s="44" t="s">
        <v>35</v>
      </c>
      <c r="C3" s="44" t="s">
        <v>248</v>
      </c>
      <c r="D3" s="44" t="s">
        <v>301</v>
      </c>
      <c r="E3" s="44" t="s">
        <v>302</v>
      </c>
      <c r="F3" s="44" t="s">
        <v>276</v>
      </c>
      <c r="G3" s="45">
        <v>45727</v>
      </c>
      <c r="H3" s="45"/>
      <c r="I3" s="44"/>
      <c r="J3" s="44"/>
      <c r="K3" s="44"/>
      <c r="L3" s="44"/>
      <c r="M3" s="44"/>
      <c r="N3" s="44" t="s">
        <v>303</v>
      </c>
    </row>
    <row r="4" spans="1:15" ht="44.25" customHeight="1">
      <c r="A4" s="43">
        <f t="shared" si="0"/>
        <v>3</v>
      </c>
      <c r="B4" s="44" t="s">
        <v>35</v>
      </c>
      <c r="C4" s="44" t="s">
        <v>248</v>
      </c>
      <c r="D4" s="44" t="s">
        <v>284</v>
      </c>
      <c r="E4" s="44" t="s">
        <v>253</v>
      </c>
      <c r="F4" s="44" t="s">
        <v>276</v>
      </c>
      <c r="G4" s="45">
        <v>45727</v>
      </c>
      <c r="H4" s="45"/>
      <c r="I4" s="44"/>
      <c r="J4" s="44"/>
      <c r="K4" s="44"/>
      <c r="L4" s="47"/>
      <c r="M4" s="44"/>
      <c r="N4" s="44" t="s">
        <v>283</v>
      </c>
    </row>
    <row r="5" spans="1:15" ht="110.25">
      <c r="A5" s="43">
        <f t="shared" si="0"/>
        <v>4</v>
      </c>
      <c r="B5" s="44" t="s">
        <v>35</v>
      </c>
      <c r="C5" s="44" t="s">
        <v>248</v>
      </c>
      <c r="D5" s="44" t="s">
        <v>286</v>
      </c>
      <c r="E5" s="44" t="s">
        <v>253</v>
      </c>
      <c r="F5" s="44" t="s">
        <v>276</v>
      </c>
      <c r="G5" s="45">
        <v>45727</v>
      </c>
      <c r="H5" s="45"/>
      <c r="I5" s="44"/>
      <c r="J5" s="44"/>
      <c r="K5" s="44"/>
      <c r="L5" s="47"/>
      <c r="M5" s="43" t="s">
        <v>282</v>
      </c>
      <c r="N5" s="44" t="s">
        <v>283</v>
      </c>
    </row>
    <row r="6" spans="1:15" ht="126">
      <c r="A6" s="43">
        <f t="shared" si="0"/>
        <v>5</v>
      </c>
      <c r="B6" s="44" t="s">
        <v>35</v>
      </c>
      <c r="C6" s="44" t="s">
        <v>248</v>
      </c>
      <c r="D6" s="44" t="s">
        <v>299</v>
      </c>
      <c r="E6" s="44" t="s">
        <v>253</v>
      </c>
      <c r="F6" s="44" t="s">
        <v>276</v>
      </c>
      <c r="G6" s="45">
        <v>45727</v>
      </c>
      <c r="H6" s="45"/>
      <c r="I6" s="44"/>
      <c r="J6" s="44"/>
      <c r="K6" s="44"/>
      <c r="L6" s="47"/>
      <c r="M6" s="43" t="s">
        <v>285</v>
      </c>
      <c r="N6" s="44" t="s">
        <v>283</v>
      </c>
    </row>
    <row r="7" spans="1:15" ht="27" customHeight="1">
      <c r="A7" s="43">
        <f t="shared" si="0"/>
        <v>6</v>
      </c>
      <c r="B7" s="44" t="s">
        <v>35</v>
      </c>
      <c r="C7" s="44" t="s">
        <v>248</v>
      </c>
      <c r="D7" s="44" t="s">
        <v>300</v>
      </c>
      <c r="E7" s="44" t="s">
        <v>253</v>
      </c>
      <c r="F7" s="44" t="s">
        <v>276</v>
      </c>
      <c r="G7" s="45">
        <v>45727</v>
      </c>
      <c r="H7" s="45"/>
      <c r="I7" s="44"/>
      <c r="J7" s="44"/>
      <c r="K7" s="44"/>
      <c r="L7" s="44"/>
      <c r="M7" s="43" t="s">
        <v>287</v>
      </c>
      <c r="N7" s="44" t="s">
        <v>283</v>
      </c>
    </row>
    <row r="8" spans="1:15" ht="47.25">
      <c r="A8" s="43">
        <f t="shared" si="0"/>
        <v>7</v>
      </c>
      <c r="B8" s="44" t="s">
        <v>45</v>
      </c>
      <c r="C8" s="44" t="s">
        <v>248</v>
      </c>
      <c r="D8" s="44" t="s">
        <v>295</v>
      </c>
      <c r="E8" s="44" t="s">
        <v>253</v>
      </c>
      <c r="F8" s="44" t="s">
        <v>276</v>
      </c>
      <c r="G8" s="45">
        <v>45727</v>
      </c>
      <c r="H8" s="45"/>
      <c r="I8" s="44"/>
      <c r="J8" s="44"/>
      <c r="K8" s="44"/>
      <c r="L8" s="44"/>
      <c r="M8" s="46"/>
      <c r="N8" s="44" t="s">
        <v>288</v>
      </c>
    </row>
    <row r="9" spans="1:15" ht="25.5" customHeight="1">
      <c r="A9" s="43">
        <f t="shared" si="0"/>
        <v>8</v>
      </c>
      <c r="B9" s="44" t="s">
        <v>35</v>
      </c>
      <c r="C9" s="44"/>
      <c r="D9" s="44"/>
      <c r="E9" s="44"/>
      <c r="F9" s="44"/>
      <c r="G9" s="45"/>
      <c r="H9" s="45"/>
      <c r="I9" s="44"/>
      <c r="J9" s="44"/>
      <c r="K9" s="44"/>
      <c r="L9" s="44"/>
      <c r="M9" s="44" t="s">
        <v>289</v>
      </c>
      <c r="N9" s="44" t="s">
        <v>49</v>
      </c>
    </row>
    <row r="10" spans="1:15" ht="24" customHeight="1">
      <c r="A10" s="43">
        <f t="shared" si="0"/>
        <v>9</v>
      </c>
      <c r="B10" s="44" t="s">
        <v>15</v>
      </c>
      <c r="C10" s="44"/>
      <c r="D10" s="44"/>
      <c r="E10" s="44"/>
      <c r="F10" s="44"/>
      <c r="G10" s="45"/>
      <c r="H10" s="45"/>
      <c r="I10" s="44"/>
      <c r="J10" s="44"/>
      <c r="K10" s="44"/>
      <c r="L10" s="47"/>
      <c r="M10" s="44"/>
      <c r="N10" s="44" t="s">
        <v>49</v>
      </c>
    </row>
    <row r="11" spans="1:15" ht="23.25" customHeight="1">
      <c r="A11" s="43">
        <f t="shared" si="0"/>
        <v>10</v>
      </c>
      <c r="B11" s="44" t="s">
        <v>35</v>
      </c>
      <c r="C11" s="44"/>
      <c r="D11" s="44"/>
      <c r="E11" s="44"/>
      <c r="F11" s="44"/>
      <c r="G11" s="45"/>
      <c r="H11" s="45"/>
      <c r="I11" s="44"/>
      <c r="J11" s="44"/>
      <c r="K11" s="44"/>
      <c r="L11" s="47"/>
      <c r="M11" s="43" t="s">
        <v>290</v>
      </c>
      <c r="N11" s="44" t="s">
        <v>283</v>
      </c>
    </row>
    <row r="12" spans="1:15" ht="18.75" customHeight="1">
      <c r="A12" s="43">
        <f t="shared" si="0"/>
        <v>11</v>
      </c>
      <c r="B12" s="44" t="s">
        <v>35</v>
      </c>
      <c r="C12" s="44"/>
      <c r="D12" s="44"/>
      <c r="E12" s="44"/>
      <c r="F12" s="44"/>
      <c r="G12" s="45"/>
      <c r="H12" s="45"/>
      <c r="I12" s="44"/>
      <c r="J12" s="44"/>
      <c r="K12" s="44"/>
      <c r="L12" s="47"/>
      <c r="M12" s="43" t="s">
        <v>291</v>
      </c>
      <c r="N12" s="44" t="s">
        <v>283</v>
      </c>
    </row>
    <row r="13" spans="1:15" ht="22.5" customHeight="1">
      <c r="A13" s="43">
        <f t="shared" si="0"/>
        <v>12</v>
      </c>
      <c r="B13" s="44" t="s">
        <v>35</v>
      </c>
      <c r="C13" s="44"/>
      <c r="D13" s="44"/>
      <c r="E13" s="44"/>
      <c r="F13" s="44"/>
      <c r="G13" s="45"/>
      <c r="H13" s="45"/>
      <c r="I13" s="44"/>
      <c r="J13" s="44"/>
      <c r="K13" s="44"/>
      <c r="L13" s="44"/>
      <c r="M13" s="43" t="s">
        <v>292</v>
      </c>
      <c r="N13" s="44" t="s">
        <v>283</v>
      </c>
    </row>
    <row r="14" spans="1:15" ht="48.75" customHeight="1">
      <c r="A14" s="43">
        <f t="shared" si="0"/>
        <v>13</v>
      </c>
      <c r="B14" s="44" t="s">
        <v>45</v>
      </c>
      <c r="C14" s="44"/>
      <c r="D14" s="44"/>
      <c r="E14" s="44"/>
      <c r="F14" s="44"/>
      <c r="G14" s="45"/>
      <c r="H14" s="45"/>
      <c r="I14" s="44"/>
      <c r="J14" s="44"/>
      <c r="K14" s="48"/>
      <c r="L14" s="48"/>
      <c r="M14" s="48"/>
      <c r="N14" s="44" t="s">
        <v>49</v>
      </c>
      <c r="O14" s="11"/>
    </row>
    <row r="15" spans="1:15">
      <c r="A15" s="43">
        <f t="shared" si="0"/>
        <v>14</v>
      </c>
      <c r="B15" s="44" t="s">
        <v>15</v>
      </c>
      <c r="C15" s="44"/>
      <c r="D15" s="44"/>
      <c r="E15" s="44"/>
      <c r="F15" s="44"/>
      <c r="G15" s="45"/>
      <c r="H15" s="45"/>
      <c r="I15" s="44"/>
      <c r="J15" s="44"/>
      <c r="K15" s="48"/>
      <c r="L15" s="48"/>
      <c r="M15" s="48"/>
      <c r="N15" s="44" t="s">
        <v>49</v>
      </c>
    </row>
    <row r="16" spans="1:15">
      <c r="A16" s="43">
        <f t="shared" si="0"/>
        <v>15</v>
      </c>
      <c r="B16" s="44" t="s">
        <v>35</v>
      </c>
      <c r="C16" s="44"/>
      <c r="D16" s="44"/>
      <c r="E16" s="44"/>
      <c r="F16" s="44"/>
      <c r="G16" s="45"/>
      <c r="H16" s="45"/>
      <c r="I16" s="44"/>
      <c r="J16" s="44"/>
      <c r="K16" s="48"/>
      <c r="L16" s="48"/>
      <c r="M16" s="48"/>
      <c r="N16" s="44" t="s">
        <v>49</v>
      </c>
    </row>
    <row r="17" spans="1:14">
      <c r="A17" s="43">
        <f t="shared" si="0"/>
        <v>16</v>
      </c>
      <c r="B17" s="44" t="s">
        <v>45</v>
      </c>
      <c r="C17" s="44"/>
      <c r="D17" s="44"/>
      <c r="E17" s="44"/>
      <c r="F17" s="44"/>
      <c r="G17" s="45"/>
      <c r="H17" s="45"/>
      <c r="I17" s="44"/>
      <c r="J17" s="44"/>
      <c r="K17" s="48"/>
      <c r="L17" s="48"/>
      <c r="M17" s="48"/>
      <c r="N17" s="44" t="s">
        <v>49</v>
      </c>
    </row>
    <row r="18" spans="1:14">
      <c r="A18" s="48"/>
      <c r="B18" s="44" t="s">
        <v>15</v>
      </c>
      <c r="C18" s="44"/>
      <c r="D18" s="44"/>
      <c r="E18" s="44"/>
      <c r="F18" s="44"/>
      <c r="G18" s="45"/>
      <c r="H18" s="48"/>
      <c r="I18" s="48"/>
      <c r="J18" s="44"/>
      <c r="K18" s="49"/>
      <c r="L18" s="48"/>
      <c r="M18" s="48" t="s">
        <v>294</v>
      </c>
      <c r="N18" s="44" t="s">
        <v>49</v>
      </c>
    </row>
    <row r="19" spans="1:14">
      <c r="A19" s="48"/>
      <c r="B19" s="44" t="s">
        <v>15</v>
      </c>
      <c r="C19" s="44"/>
      <c r="D19" s="44"/>
      <c r="E19" s="44"/>
      <c r="F19" s="44"/>
      <c r="G19" s="45"/>
      <c r="H19" s="48"/>
      <c r="I19" s="48"/>
      <c r="J19" s="44"/>
      <c r="K19" s="44"/>
      <c r="L19" s="47"/>
      <c r="M19" s="43"/>
      <c r="N19" s="44" t="s">
        <v>49</v>
      </c>
    </row>
    <row r="20" spans="1:14" ht="31.5">
      <c r="A20" s="48"/>
      <c r="B20" s="44" t="s">
        <v>15</v>
      </c>
      <c r="C20" s="44"/>
      <c r="D20" s="44"/>
      <c r="E20" s="44"/>
      <c r="F20" s="44"/>
      <c r="G20" s="45"/>
      <c r="H20" s="48"/>
      <c r="I20" s="48"/>
      <c r="J20" s="44"/>
      <c r="K20" s="44"/>
      <c r="L20" s="47"/>
      <c r="M20" s="43" t="s">
        <v>296</v>
      </c>
      <c r="N20" s="44" t="s">
        <v>49</v>
      </c>
    </row>
    <row r="21" spans="1:14" ht="63">
      <c r="A21" s="48"/>
      <c r="B21" s="44" t="s">
        <v>15</v>
      </c>
      <c r="C21" s="44"/>
      <c r="D21" s="44"/>
      <c r="E21" s="44"/>
      <c r="F21" s="44"/>
      <c r="G21" s="45"/>
      <c r="H21" s="48"/>
      <c r="I21" s="48"/>
      <c r="J21" s="44"/>
      <c r="K21" s="44"/>
      <c r="L21" s="44"/>
      <c r="M21" s="43" t="s">
        <v>298</v>
      </c>
      <c r="N21" s="44" t="s">
        <v>49</v>
      </c>
    </row>
    <row r="22" spans="1:14">
      <c r="A22" s="48"/>
      <c r="B22" s="44" t="s">
        <v>15</v>
      </c>
      <c r="C22" s="44"/>
      <c r="D22" s="44"/>
      <c r="E22" s="44"/>
      <c r="F22" s="44"/>
      <c r="G22" s="45"/>
      <c r="H22" s="48"/>
      <c r="I22" s="48"/>
      <c r="J22" s="44"/>
      <c r="K22" s="44"/>
      <c r="L22" s="44"/>
      <c r="M22" s="43"/>
      <c r="N22" s="44" t="s">
        <v>49</v>
      </c>
    </row>
    <row r="23" spans="1:14">
      <c r="A23" s="48"/>
      <c r="B23" s="44" t="s">
        <v>15</v>
      </c>
      <c r="C23" s="44"/>
      <c r="D23" s="44"/>
      <c r="E23" s="44"/>
      <c r="F23" s="44"/>
      <c r="G23" s="45"/>
      <c r="H23" s="48"/>
      <c r="I23" s="48"/>
      <c r="J23" s="44"/>
      <c r="K23" s="48"/>
      <c r="L23" s="48"/>
      <c r="M23" s="48"/>
      <c r="N23" s="44" t="s">
        <v>49</v>
      </c>
    </row>
  </sheetData>
  <autoFilter ref="A1:N23" xr:uid="{00000000-0009-0000-0000-000004000000}"/>
  <dataValidations count="2">
    <dataValidation type="list" allowBlank="1" showErrorMessage="1" sqref="C2:C23" xr:uid="{00000000-0002-0000-0400-000000000000}">
      <formula1>"Официальный,Неофициальный"</formula1>
    </dataValidation>
    <dataValidation type="list" allowBlank="1" showErrorMessage="1" sqref="B2:B23" xr:uid="{00000000-0002-0000-04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6"/>
  <sheetViews>
    <sheetView workbookViewId="0">
      <selection activeCell="F19" sqref="F19"/>
    </sheetView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4" ht="47.2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1" t="s">
        <v>7</v>
      </c>
      <c r="I1" s="41" t="s">
        <v>8</v>
      </c>
      <c r="J1" s="40" t="s">
        <v>9</v>
      </c>
      <c r="K1" s="41" t="s">
        <v>10</v>
      </c>
      <c r="L1" s="41" t="s">
        <v>11</v>
      </c>
      <c r="M1" s="40" t="s">
        <v>12</v>
      </c>
      <c r="N1" s="42" t="s">
        <v>14</v>
      </c>
    </row>
    <row r="2" spans="1:14" ht="30.75" customHeight="1">
      <c r="A2" s="6">
        <v>1</v>
      </c>
      <c r="B2" s="7" t="s">
        <v>15</v>
      </c>
      <c r="C2" s="7"/>
      <c r="D2" s="19" t="s">
        <v>304</v>
      </c>
      <c r="E2" s="19" t="s">
        <v>305</v>
      </c>
      <c r="F2" s="7" t="s">
        <v>306</v>
      </c>
      <c r="G2" s="21">
        <v>45467</v>
      </c>
      <c r="H2" s="8"/>
      <c r="I2" s="7">
        <f t="shared" ref="I2:I6" si="0">H2-G2</f>
        <v>-45467</v>
      </c>
      <c r="J2" s="19">
        <v>2</v>
      </c>
      <c r="K2" s="7">
        <v>5</v>
      </c>
      <c r="L2" s="19">
        <v>0</v>
      </c>
      <c r="M2" s="6"/>
      <c r="N2" s="19" t="s">
        <v>307</v>
      </c>
    </row>
    <row r="3" spans="1:14" ht="27.75" customHeight="1">
      <c r="A3" s="6">
        <f t="shared" ref="A3:A6" si="1">A2+1</f>
        <v>2</v>
      </c>
      <c r="B3" s="7" t="s">
        <v>15</v>
      </c>
      <c r="C3" s="7"/>
      <c r="D3" s="19" t="s">
        <v>308</v>
      </c>
      <c r="E3" s="19" t="s">
        <v>305</v>
      </c>
      <c r="F3" s="7" t="s">
        <v>306</v>
      </c>
      <c r="G3" s="21">
        <v>45460</v>
      </c>
      <c r="H3" s="8"/>
      <c r="I3" s="7">
        <f t="shared" si="0"/>
        <v>-45460</v>
      </c>
      <c r="J3" s="19">
        <v>3</v>
      </c>
      <c r="K3" s="7">
        <v>1</v>
      </c>
      <c r="L3" s="19">
        <v>1</v>
      </c>
      <c r="M3" s="6"/>
      <c r="N3" s="19" t="s">
        <v>309</v>
      </c>
    </row>
    <row r="4" spans="1:14" ht="28.5" customHeight="1">
      <c r="A4" s="6">
        <f t="shared" si="1"/>
        <v>3</v>
      </c>
      <c r="B4" s="7" t="s">
        <v>15</v>
      </c>
      <c r="C4" s="7"/>
      <c r="D4" s="19" t="s">
        <v>310</v>
      </c>
      <c r="E4" s="19" t="s">
        <v>311</v>
      </c>
      <c r="F4" s="7" t="s">
        <v>306</v>
      </c>
      <c r="G4" s="21">
        <v>45413</v>
      </c>
      <c r="H4" s="8"/>
      <c r="I4" s="7">
        <f t="shared" si="0"/>
        <v>-45413</v>
      </c>
      <c r="J4" s="19">
        <v>1</v>
      </c>
      <c r="K4" s="7">
        <v>3</v>
      </c>
      <c r="L4" s="19">
        <v>0</v>
      </c>
      <c r="M4" s="6"/>
      <c r="N4" s="19"/>
    </row>
    <row r="5" spans="1:14" ht="27.75" customHeight="1">
      <c r="A5" s="6">
        <f t="shared" si="1"/>
        <v>4</v>
      </c>
      <c r="B5" s="7" t="s">
        <v>25</v>
      </c>
      <c r="C5" s="7"/>
      <c r="D5" s="19" t="s">
        <v>312</v>
      </c>
      <c r="E5" s="19" t="s">
        <v>313</v>
      </c>
      <c r="F5" s="7" t="s">
        <v>306</v>
      </c>
      <c r="G5" s="21">
        <v>45456</v>
      </c>
      <c r="H5" s="8"/>
      <c r="I5" s="7">
        <f t="shared" si="0"/>
        <v>-45456</v>
      </c>
      <c r="J5" s="19">
        <v>1</v>
      </c>
      <c r="K5" s="7">
        <v>2</v>
      </c>
      <c r="L5" s="19">
        <v>0</v>
      </c>
      <c r="M5" s="6"/>
      <c r="N5" s="19"/>
    </row>
    <row r="6" spans="1:14" ht="28.5" customHeight="1">
      <c r="A6" s="6">
        <f t="shared" si="1"/>
        <v>5</v>
      </c>
      <c r="B6" s="7" t="s">
        <v>15</v>
      </c>
      <c r="C6" s="7"/>
      <c r="D6" s="19" t="s">
        <v>314</v>
      </c>
      <c r="E6" s="19" t="s">
        <v>313</v>
      </c>
      <c r="F6" s="7" t="s">
        <v>306</v>
      </c>
      <c r="G6" s="21">
        <v>45444</v>
      </c>
      <c r="H6" s="8"/>
      <c r="I6" s="7">
        <f t="shared" si="0"/>
        <v>-45444</v>
      </c>
      <c r="J6" s="19">
        <v>1</v>
      </c>
      <c r="K6" s="7">
        <v>1</v>
      </c>
      <c r="L6" s="19">
        <v>0</v>
      </c>
      <c r="M6" s="6"/>
      <c r="N6" s="19"/>
    </row>
  </sheetData>
  <autoFilter ref="A1:N6" xr:uid="{00000000-0009-0000-0000-000005000000}"/>
  <dataValidations count="2">
    <dataValidation type="list" allowBlank="1" showErrorMessage="1" sqref="C2:C6" xr:uid="{00000000-0002-0000-0500-000000000000}">
      <formula1>"Официальный,Неофициальный"</formula1>
    </dataValidation>
    <dataValidation type="list" allowBlank="1" showErrorMessage="1" sqref="B2:B6" xr:uid="{00000000-0002-0000-05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K8"/>
  <sheetViews>
    <sheetView workbookViewId="0"/>
  </sheetViews>
  <sheetFormatPr defaultColWidth="12.5703125" defaultRowHeight="15.75" customHeight="1"/>
  <cols>
    <col min="1" max="1" width="16.5703125" customWidth="1"/>
    <col min="2" max="2" width="28" customWidth="1"/>
    <col min="3" max="3" width="23.7109375" customWidth="1"/>
    <col min="4" max="4" width="14.42578125" customWidth="1"/>
    <col min="5" max="5" width="17.28515625" customWidth="1"/>
    <col min="6" max="6" width="23.85546875" customWidth="1"/>
    <col min="7" max="7" width="21.42578125" customWidth="1"/>
    <col min="8" max="8" width="25.42578125" customWidth="1"/>
    <col min="9" max="9" width="16.85546875" customWidth="1"/>
    <col min="10" max="10" width="22.42578125" customWidth="1"/>
    <col min="11" max="11" width="29.85546875" customWidth="1"/>
  </cols>
  <sheetData>
    <row r="1" spans="1:11" ht="51.75" customHeight="1">
      <c r="A1" s="29" t="s">
        <v>0</v>
      </c>
      <c r="B1" s="30" t="s">
        <v>6</v>
      </c>
      <c r="C1" s="29" t="s">
        <v>5</v>
      </c>
      <c r="D1" s="29" t="s">
        <v>4</v>
      </c>
      <c r="E1" s="29" t="s">
        <v>3</v>
      </c>
      <c r="F1" s="29" t="s">
        <v>273</v>
      </c>
      <c r="G1" s="30" t="s">
        <v>7</v>
      </c>
      <c r="H1" s="30" t="s">
        <v>274</v>
      </c>
      <c r="I1" s="30" t="s">
        <v>11</v>
      </c>
      <c r="J1" s="29" t="s">
        <v>275</v>
      </c>
      <c r="K1" s="29" t="s">
        <v>315</v>
      </c>
    </row>
    <row r="2" spans="1:11" ht="12.75">
      <c r="A2" s="38">
        <v>1</v>
      </c>
      <c r="B2" s="54">
        <v>45428</v>
      </c>
      <c r="C2" s="53" t="s">
        <v>319</v>
      </c>
      <c r="D2" s="58" t="s">
        <v>320</v>
      </c>
      <c r="E2" s="53" t="s">
        <v>321</v>
      </c>
      <c r="F2" s="53">
        <v>1</v>
      </c>
      <c r="G2" s="38"/>
      <c r="H2" s="53"/>
      <c r="I2" s="38"/>
      <c r="J2" s="38"/>
      <c r="K2" s="38"/>
    </row>
    <row r="3" spans="1:11" ht="12.75">
      <c r="A3" s="38">
        <v>2</v>
      </c>
      <c r="B3" s="54">
        <v>45430</v>
      </c>
      <c r="C3" s="59" t="s">
        <v>319</v>
      </c>
      <c r="D3" s="53" t="s">
        <v>43</v>
      </c>
      <c r="E3" s="53" t="s">
        <v>322</v>
      </c>
      <c r="F3" s="53">
        <v>1</v>
      </c>
      <c r="G3" s="54">
        <v>45433</v>
      </c>
      <c r="H3" s="53">
        <v>3</v>
      </c>
      <c r="I3" s="53">
        <v>1</v>
      </c>
      <c r="J3" s="53" t="s">
        <v>323</v>
      </c>
      <c r="K3" s="53" t="s">
        <v>324</v>
      </c>
    </row>
    <row r="4" spans="1:11" ht="12.75">
      <c r="A4" s="38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ht="12.7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12.7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2.7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</row>
    <row r="8" spans="1:11" ht="12.7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5"/>
  <sheetViews>
    <sheetView tabSelected="1"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4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4" ht="30.75" customHeight="1">
      <c r="A2" s="52">
        <v>1</v>
      </c>
      <c r="B2" s="50" t="s">
        <v>15</v>
      </c>
      <c r="C2" s="50" t="s">
        <v>16</v>
      </c>
      <c r="D2" s="60" t="s">
        <v>325</v>
      </c>
      <c r="E2" s="60" t="s">
        <v>326</v>
      </c>
      <c r="F2" s="50" t="s">
        <v>327</v>
      </c>
      <c r="G2" s="61">
        <v>45402</v>
      </c>
      <c r="H2" s="61">
        <v>45447</v>
      </c>
      <c r="I2" s="50">
        <f t="shared" ref="I2:I5" si="0">H2-G2</f>
        <v>45</v>
      </c>
      <c r="J2" s="60">
        <v>3</v>
      </c>
      <c r="K2" s="60">
        <v>6</v>
      </c>
      <c r="L2" s="60">
        <v>4</v>
      </c>
      <c r="M2" s="62" t="s">
        <v>328</v>
      </c>
      <c r="N2" s="52" t="s">
        <v>21</v>
      </c>
    </row>
    <row r="3" spans="1:14" ht="30.75" customHeight="1">
      <c r="A3" s="43">
        <f t="shared" ref="A3:A5" si="1">A2+1</f>
        <v>2</v>
      </c>
      <c r="B3" s="44" t="s">
        <v>15</v>
      </c>
      <c r="C3" s="44" t="s">
        <v>16</v>
      </c>
      <c r="D3" s="63" t="s">
        <v>329</v>
      </c>
      <c r="E3" s="63" t="s">
        <v>326</v>
      </c>
      <c r="F3" s="44" t="s">
        <v>327</v>
      </c>
      <c r="G3" s="64">
        <v>45402</v>
      </c>
      <c r="H3" s="64">
        <v>45447</v>
      </c>
      <c r="I3" s="44">
        <f t="shared" si="0"/>
        <v>45</v>
      </c>
      <c r="J3" s="63">
        <v>2</v>
      </c>
      <c r="K3" s="63">
        <v>3</v>
      </c>
      <c r="L3" s="63">
        <v>2</v>
      </c>
      <c r="M3" s="63" t="s">
        <v>330</v>
      </c>
      <c r="N3" s="43" t="s">
        <v>21</v>
      </c>
    </row>
    <row r="4" spans="1:14" ht="30" customHeight="1">
      <c r="A4" s="43">
        <f t="shared" si="1"/>
        <v>3</v>
      </c>
      <c r="B4" s="44" t="s">
        <v>25</v>
      </c>
      <c r="C4" s="44" t="s">
        <v>16</v>
      </c>
      <c r="D4" s="63" t="s">
        <v>331</v>
      </c>
      <c r="E4" s="63" t="s">
        <v>332</v>
      </c>
      <c r="F4" s="44" t="s">
        <v>327</v>
      </c>
      <c r="G4" s="64">
        <v>45569</v>
      </c>
      <c r="H4" s="64">
        <v>45572</v>
      </c>
      <c r="I4" s="44">
        <f t="shared" si="0"/>
        <v>3</v>
      </c>
      <c r="J4" s="63">
        <v>1</v>
      </c>
      <c r="K4" s="63">
        <v>1</v>
      </c>
      <c r="L4" s="63">
        <v>1</v>
      </c>
      <c r="M4" s="63" t="s">
        <v>333</v>
      </c>
      <c r="N4" s="43" t="s">
        <v>21</v>
      </c>
    </row>
    <row r="5" spans="1:14" ht="31.5" customHeight="1">
      <c r="A5" s="43">
        <f t="shared" si="1"/>
        <v>4</v>
      </c>
      <c r="B5" s="44" t="s">
        <v>25</v>
      </c>
      <c r="C5" s="44" t="s">
        <v>16</v>
      </c>
      <c r="D5" s="65" t="s">
        <v>325</v>
      </c>
      <c r="E5" s="65" t="s">
        <v>326</v>
      </c>
      <c r="F5" s="44" t="s">
        <v>327</v>
      </c>
      <c r="G5" s="66">
        <v>45573</v>
      </c>
      <c r="H5" s="66">
        <v>45631</v>
      </c>
      <c r="I5" s="44">
        <f t="shared" si="0"/>
        <v>58</v>
      </c>
      <c r="J5" s="65">
        <v>1</v>
      </c>
      <c r="K5" s="65">
        <v>1</v>
      </c>
      <c r="L5" s="65">
        <v>1</v>
      </c>
      <c r="M5" s="65" t="s">
        <v>334</v>
      </c>
      <c r="N5" s="43" t="s">
        <v>21</v>
      </c>
    </row>
  </sheetData>
  <autoFilter ref="A1:N5" xr:uid="{00000000-0009-0000-0000-00001C000000}"/>
  <dataValidations count="2">
    <dataValidation type="list" allowBlank="1" showErrorMessage="1" sqref="C2:C5" xr:uid="{00000000-0002-0000-1C00-000000000000}">
      <formula1>"Официальный,Неофициальный"</formula1>
    </dataValidation>
    <dataValidation type="list" allowBlank="1" showErrorMessage="1" sqref="B2:B5" xr:uid="{00000000-0002-0000-1C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17"/>
  <sheetViews>
    <sheetView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5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5" ht="30.75" customHeight="1">
      <c r="A2" s="52">
        <v>1</v>
      </c>
      <c r="B2" s="50" t="s">
        <v>15</v>
      </c>
      <c r="C2" s="50" t="s">
        <v>16</v>
      </c>
      <c r="D2" s="50" t="s">
        <v>17</v>
      </c>
      <c r="E2" s="50" t="s">
        <v>18</v>
      </c>
      <c r="F2" s="50" t="s">
        <v>19</v>
      </c>
      <c r="G2" s="51">
        <v>45338</v>
      </c>
      <c r="H2" s="51">
        <v>45433</v>
      </c>
      <c r="I2" s="50">
        <f>H2-G2</f>
        <v>95</v>
      </c>
      <c r="J2" s="50">
        <v>10</v>
      </c>
      <c r="K2" s="50">
        <v>5</v>
      </c>
      <c r="L2" s="50">
        <v>1</v>
      </c>
      <c r="M2" s="52"/>
      <c r="N2" s="52" t="s">
        <v>21</v>
      </c>
    </row>
    <row r="3" spans="1:15" ht="27.75" customHeight="1">
      <c r="A3" s="43"/>
      <c r="B3" s="44"/>
      <c r="C3" s="50"/>
      <c r="D3" s="44"/>
      <c r="E3" s="44"/>
      <c r="F3" s="44"/>
      <c r="G3" s="45"/>
      <c r="H3" s="45"/>
      <c r="I3" s="44"/>
      <c r="J3" s="44"/>
      <c r="K3" s="44"/>
      <c r="L3" s="43"/>
      <c r="M3" s="43"/>
      <c r="N3" s="43"/>
    </row>
    <row r="4" spans="1:15" ht="28.5" customHeight="1">
      <c r="A4" s="43"/>
      <c r="B4" s="44"/>
      <c r="C4" s="50"/>
      <c r="D4" s="44"/>
      <c r="E4" s="44"/>
      <c r="F4" s="44"/>
      <c r="G4" s="45"/>
      <c r="H4" s="45"/>
      <c r="I4" s="44"/>
      <c r="J4" s="44"/>
      <c r="K4" s="44"/>
      <c r="L4" s="43"/>
      <c r="M4" s="43"/>
      <c r="N4" s="43"/>
    </row>
    <row r="5" spans="1:15">
      <c r="A5" s="43"/>
      <c r="B5" s="44"/>
      <c r="C5" s="50"/>
      <c r="D5" s="44"/>
      <c r="E5" s="44"/>
      <c r="F5" s="44"/>
      <c r="G5" s="45"/>
      <c r="H5" s="45"/>
      <c r="I5" s="44"/>
      <c r="J5" s="44"/>
      <c r="K5" s="44"/>
      <c r="L5" s="43"/>
      <c r="M5" s="43"/>
      <c r="N5" s="43"/>
    </row>
    <row r="6" spans="1:15">
      <c r="A6" s="43"/>
      <c r="B6" s="44"/>
      <c r="C6" s="50"/>
      <c r="D6" s="44"/>
      <c r="E6" s="44"/>
      <c r="F6" s="44"/>
      <c r="G6" s="45"/>
      <c r="H6" s="45"/>
      <c r="I6" s="44"/>
      <c r="J6" s="44"/>
      <c r="K6" s="44"/>
      <c r="L6" s="43"/>
      <c r="M6" s="43"/>
      <c r="N6" s="43"/>
    </row>
    <row r="7" spans="1:15" ht="27" customHeight="1">
      <c r="A7" s="43"/>
      <c r="B7" s="44"/>
      <c r="C7" s="50"/>
      <c r="D7" s="44"/>
      <c r="E7" s="44"/>
      <c r="F7" s="44"/>
      <c r="G7" s="45"/>
      <c r="H7" s="45"/>
      <c r="I7" s="44"/>
      <c r="J7" s="44"/>
      <c r="K7" s="44"/>
      <c r="L7" s="43"/>
      <c r="M7" s="43"/>
      <c r="N7" s="43"/>
    </row>
    <row r="8" spans="1:15">
      <c r="A8" s="43"/>
      <c r="B8" s="44"/>
      <c r="C8" s="50"/>
      <c r="D8" s="44"/>
      <c r="E8" s="44"/>
      <c r="F8" s="44"/>
      <c r="G8" s="45"/>
      <c r="H8" s="45"/>
      <c r="I8" s="44"/>
      <c r="J8" s="44"/>
      <c r="K8" s="44"/>
      <c r="L8" s="43"/>
      <c r="M8" s="43"/>
      <c r="N8" s="43"/>
    </row>
    <row r="9" spans="1:15" ht="25.5" customHeight="1">
      <c r="A9" s="43"/>
      <c r="B9" s="44"/>
      <c r="C9" s="50"/>
      <c r="D9" s="44"/>
      <c r="E9" s="44"/>
      <c r="F9" s="44"/>
      <c r="G9" s="45"/>
      <c r="H9" s="45"/>
      <c r="I9" s="44"/>
      <c r="J9" s="44"/>
      <c r="K9" s="44"/>
      <c r="L9" s="43"/>
      <c r="M9" s="43"/>
      <c r="N9" s="43"/>
    </row>
    <row r="10" spans="1:15" ht="24" customHeight="1">
      <c r="A10" s="43"/>
      <c r="B10" s="44"/>
      <c r="C10" s="50"/>
      <c r="D10" s="9"/>
      <c r="E10" s="44"/>
      <c r="F10" s="44"/>
      <c r="G10" s="45"/>
      <c r="H10" s="45"/>
      <c r="I10" s="44"/>
      <c r="J10" s="9"/>
      <c r="K10" s="9"/>
      <c r="L10" s="9"/>
      <c r="M10" s="9"/>
      <c r="N10" s="9"/>
    </row>
    <row r="11" spans="1:15" ht="23.25" customHeight="1">
      <c r="A11" s="43"/>
      <c r="B11" s="44"/>
      <c r="C11" s="50"/>
      <c r="D11" s="44"/>
      <c r="E11" s="44"/>
      <c r="F11" s="44"/>
      <c r="G11" s="45"/>
      <c r="H11" s="45"/>
      <c r="I11" s="44"/>
      <c r="J11" s="44"/>
      <c r="K11" s="44"/>
      <c r="L11" s="43"/>
      <c r="M11" s="43"/>
      <c r="N11" s="43"/>
    </row>
    <row r="12" spans="1:15" ht="18.75" customHeight="1">
      <c r="A12" s="43"/>
      <c r="B12" s="44"/>
      <c r="C12" s="50"/>
      <c r="D12" s="9"/>
      <c r="E12" s="44"/>
      <c r="F12" s="44"/>
      <c r="G12" s="45"/>
      <c r="H12" s="45"/>
      <c r="I12" s="44"/>
      <c r="J12" s="9"/>
      <c r="K12" s="44"/>
      <c r="L12" s="9"/>
      <c r="M12" s="9"/>
      <c r="N12" s="43"/>
    </row>
    <row r="13" spans="1:15" ht="22.5" customHeight="1">
      <c r="A13" s="43"/>
      <c r="B13" s="44"/>
      <c r="C13" s="50"/>
      <c r="D13" s="10"/>
      <c r="E13" s="44"/>
      <c r="F13" s="10"/>
      <c r="G13" s="45"/>
      <c r="H13" s="45"/>
      <c r="I13" s="44"/>
      <c r="J13" s="10"/>
      <c r="K13" s="10"/>
      <c r="L13" s="67"/>
      <c r="M13" s="10"/>
      <c r="N13" s="10"/>
    </row>
    <row r="14" spans="1:15" ht="48.75" customHeight="1">
      <c r="A14" s="43"/>
      <c r="B14" s="44"/>
      <c r="C14" s="50"/>
      <c r="D14" s="7"/>
      <c r="E14" s="10"/>
      <c r="F14" s="10"/>
      <c r="G14" s="45"/>
      <c r="H14" s="45"/>
      <c r="I14" s="44"/>
      <c r="J14" s="10"/>
      <c r="K14" s="10"/>
      <c r="L14" s="67"/>
      <c r="M14" s="67"/>
      <c r="N14" s="10"/>
      <c r="O14" s="11"/>
    </row>
    <row r="15" spans="1:15">
      <c r="A15" s="43"/>
      <c r="B15" s="44"/>
      <c r="C15" s="50"/>
      <c r="D15" s="10"/>
      <c r="E15" s="10"/>
      <c r="F15" s="10"/>
      <c r="G15" s="45"/>
      <c r="H15" s="45"/>
      <c r="I15" s="44"/>
      <c r="J15" s="10"/>
      <c r="K15" s="67"/>
      <c r="L15" s="67"/>
      <c r="M15" s="67"/>
      <c r="N15" s="10"/>
    </row>
    <row r="16" spans="1:15">
      <c r="A16" s="43"/>
      <c r="B16" s="44"/>
      <c r="C16" s="50"/>
      <c r="D16" s="10"/>
      <c r="E16" s="10"/>
      <c r="F16" s="10"/>
      <c r="G16" s="45"/>
      <c r="H16" s="45"/>
      <c r="I16" s="44"/>
      <c r="J16" s="10"/>
      <c r="K16" s="67"/>
      <c r="L16" s="67"/>
      <c r="M16" s="67"/>
      <c r="N16" s="10"/>
    </row>
    <row r="17" spans="1:14">
      <c r="A17" s="43"/>
      <c r="B17" s="44"/>
      <c r="C17" s="50"/>
      <c r="D17" s="7"/>
      <c r="E17" s="10"/>
      <c r="F17" s="10"/>
      <c r="G17" s="45"/>
      <c r="H17" s="45"/>
      <c r="I17" s="44"/>
      <c r="J17" s="10"/>
      <c r="K17" s="67"/>
      <c r="L17" s="67"/>
      <c r="M17" s="67"/>
      <c r="N17" s="10"/>
    </row>
  </sheetData>
  <autoFilter ref="A1:N17" xr:uid="{00000000-0009-0000-0000-00001D000000}"/>
  <dataValidations count="2">
    <dataValidation type="list" allowBlank="1" showErrorMessage="1" sqref="C2:C17" xr:uid="{00000000-0002-0000-1D00-000000000000}">
      <formula1>"Официальный,Неофициальный"</formula1>
    </dataValidation>
    <dataValidation type="list" allowBlank="1" showErrorMessage="1" sqref="B2:B17" xr:uid="{00000000-0002-0000-1D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3"/>
  <sheetViews>
    <sheetView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4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4" ht="30.75" customHeight="1">
      <c r="A2" s="3">
        <v>1</v>
      </c>
      <c r="B2" s="4" t="s">
        <v>35</v>
      </c>
      <c r="C2" s="4" t="s">
        <v>16</v>
      </c>
      <c r="D2" s="68" t="s">
        <v>335</v>
      </c>
      <c r="E2" s="68" t="s">
        <v>336</v>
      </c>
      <c r="F2" s="4" t="s">
        <v>337</v>
      </c>
      <c r="G2" s="69">
        <v>45637</v>
      </c>
      <c r="H2" s="69">
        <v>45637</v>
      </c>
      <c r="I2" s="4">
        <f t="shared" ref="I2:I3" si="0">H2-G2</f>
        <v>0</v>
      </c>
      <c r="J2" s="68">
        <v>1</v>
      </c>
      <c r="K2" s="68">
        <v>4</v>
      </c>
      <c r="L2" s="68">
        <v>1</v>
      </c>
      <c r="M2" s="68" t="s">
        <v>338</v>
      </c>
      <c r="N2" s="3" t="s">
        <v>21</v>
      </c>
    </row>
    <row r="3" spans="1:14" ht="27.75" customHeight="1">
      <c r="A3" s="6">
        <f>A2+1</f>
        <v>2</v>
      </c>
      <c r="B3" s="7" t="s">
        <v>35</v>
      </c>
      <c r="C3" s="7" t="s">
        <v>16</v>
      </c>
      <c r="D3" s="70" t="s">
        <v>335</v>
      </c>
      <c r="E3" s="70" t="s">
        <v>336</v>
      </c>
      <c r="F3" s="7" t="s">
        <v>337</v>
      </c>
      <c r="G3" s="71">
        <v>45637</v>
      </c>
      <c r="H3" s="71">
        <v>45637</v>
      </c>
      <c r="I3" s="7">
        <f t="shared" si="0"/>
        <v>0</v>
      </c>
      <c r="J3" s="70">
        <v>1</v>
      </c>
      <c r="K3" s="70">
        <v>4</v>
      </c>
      <c r="L3" s="70">
        <v>1</v>
      </c>
      <c r="M3" s="70" t="s">
        <v>339</v>
      </c>
      <c r="N3" s="6" t="s">
        <v>21</v>
      </c>
    </row>
  </sheetData>
  <autoFilter ref="A1:N3" xr:uid="{00000000-0009-0000-0000-00001E000000}"/>
  <dataValidations count="2">
    <dataValidation type="list" allowBlank="1" showErrorMessage="1" sqref="C2:C3" xr:uid="{00000000-0002-0000-1E00-000000000000}">
      <formula1>"Официальный,Неофициальный"</formula1>
    </dataValidation>
    <dataValidation type="list" allowBlank="1" showErrorMessage="1" sqref="B2:B3" xr:uid="{00000000-0002-0000-1E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4"/>
  <sheetViews>
    <sheetView workbookViewId="0"/>
  </sheetViews>
  <sheetFormatPr defaultColWidth="12.5703125" defaultRowHeight="15.75" customHeight="1"/>
  <cols>
    <col min="1" max="1" width="11.140625" customWidth="1"/>
    <col min="4" max="4" width="27.85546875" customWidth="1"/>
    <col min="6" max="6" width="15.28515625" customWidth="1"/>
    <col min="10" max="10" width="18.5703125" customWidth="1"/>
    <col min="11" max="11" width="17.42578125" customWidth="1"/>
  </cols>
  <sheetData>
    <row r="1" spans="1:11">
      <c r="A1" s="29" t="s">
        <v>0</v>
      </c>
      <c r="B1" s="30" t="s">
        <v>6</v>
      </c>
      <c r="C1" s="29" t="s">
        <v>5</v>
      </c>
      <c r="D1" s="29" t="s">
        <v>4</v>
      </c>
      <c r="E1" s="29" t="s">
        <v>3</v>
      </c>
      <c r="F1" s="29" t="s">
        <v>273</v>
      </c>
      <c r="G1" s="30" t="s">
        <v>7</v>
      </c>
      <c r="H1" s="30" t="s">
        <v>274</v>
      </c>
      <c r="I1" s="30" t="s">
        <v>11</v>
      </c>
      <c r="J1" s="29" t="s">
        <v>275</v>
      </c>
      <c r="K1" s="29" t="s">
        <v>315</v>
      </c>
    </row>
    <row r="2" spans="1:11">
      <c r="A2" s="72">
        <v>1</v>
      </c>
      <c r="B2" s="73">
        <v>45637</v>
      </c>
      <c r="C2" s="74" t="s">
        <v>340</v>
      </c>
      <c r="D2" s="75" t="s">
        <v>341</v>
      </c>
      <c r="E2" s="75" t="s">
        <v>335</v>
      </c>
      <c r="F2" s="76">
        <v>1</v>
      </c>
      <c r="G2" s="77">
        <v>45637</v>
      </c>
      <c r="H2" s="76">
        <v>4</v>
      </c>
      <c r="I2" s="76">
        <v>1</v>
      </c>
      <c r="J2" s="75" t="s">
        <v>338</v>
      </c>
      <c r="K2" s="78" t="s">
        <v>21</v>
      </c>
    </row>
    <row r="3" spans="1:11">
      <c r="A3" s="79">
        <v>2</v>
      </c>
      <c r="B3" s="80">
        <v>45637</v>
      </c>
      <c r="C3" s="81" t="s">
        <v>340</v>
      </c>
      <c r="D3" s="82" t="s">
        <v>341</v>
      </c>
      <c r="E3" s="82" t="s">
        <v>335</v>
      </c>
      <c r="F3" s="83">
        <v>1</v>
      </c>
      <c r="G3" s="84">
        <v>45637</v>
      </c>
      <c r="H3" s="83">
        <v>4</v>
      </c>
      <c r="I3" s="83">
        <v>1</v>
      </c>
      <c r="J3" s="82" t="s">
        <v>342</v>
      </c>
      <c r="K3" s="78" t="s">
        <v>21</v>
      </c>
    </row>
    <row r="4" spans="1:11">
      <c r="A4" s="32"/>
      <c r="B4" s="33"/>
      <c r="C4" s="34"/>
      <c r="D4" s="34"/>
      <c r="E4" s="34"/>
      <c r="F4" s="34"/>
      <c r="G4" s="35"/>
      <c r="H4" s="34"/>
      <c r="I4" s="35"/>
      <c r="J4" s="34"/>
      <c r="K4" s="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N11"/>
  <sheetViews>
    <sheetView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4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4" ht="30.75" customHeight="1">
      <c r="A2" s="52">
        <v>1</v>
      </c>
      <c r="B2" s="50" t="s">
        <v>15</v>
      </c>
      <c r="C2" s="50" t="s">
        <v>16</v>
      </c>
      <c r="D2" s="60" t="s">
        <v>343</v>
      </c>
      <c r="E2" s="60" t="s">
        <v>344</v>
      </c>
      <c r="F2" s="60" t="s">
        <v>345</v>
      </c>
      <c r="G2" s="61">
        <v>45398</v>
      </c>
      <c r="H2" s="61">
        <v>45406</v>
      </c>
      <c r="I2" s="50">
        <f t="shared" ref="I2:I11" si="0">H2-G2</f>
        <v>8</v>
      </c>
      <c r="J2" s="60">
        <v>1</v>
      </c>
      <c r="K2" s="60">
        <v>5</v>
      </c>
      <c r="L2" s="60">
        <v>1</v>
      </c>
      <c r="M2" s="60" t="s">
        <v>346</v>
      </c>
      <c r="N2" s="56" t="s">
        <v>21</v>
      </c>
    </row>
    <row r="3" spans="1:14" ht="27.75" customHeight="1">
      <c r="A3" s="43">
        <f t="shared" ref="A3:A11" si="1">A2+1</f>
        <v>2</v>
      </c>
      <c r="B3" s="44" t="s">
        <v>15</v>
      </c>
      <c r="C3" s="44" t="s">
        <v>16</v>
      </c>
      <c r="D3" s="85" t="s">
        <v>347</v>
      </c>
      <c r="E3" s="63" t="s">
        <v>348</v>
      </c>
      <c r="F3" s="63" t="s">
        <v>345</v>
      </c>
      <c r="G3" s="64">
        <v>45426</v>
      </c>
      <c r="H3" s="64">
        <v>45453</v>
      </c>
      <c r="I3" s="44">
        <f t="shared" si="0"/>
        <v>27</v>
      </c>
      <c r="J3" s="63">
        <v>1</v>
      </c>
      <c r="K3" s="63">
        <v>1</v>
      </c>
      <c r="L3" s="63">
        <v>1</v>
      </c>
      <c r="M3" s="63" t="s">
        <v>349</v>
      </c>
      <c r="N3" s="56" t="s">
        <v>21</v>
      </c>
    </row>
    <row r="4" spans="1:14" ht="28.5" customHeight="1">
      <c r="A4" s="43">
        <f t="shared" si="1"/>
        <v>3</v>
      </c>
      <c r="B4" s="44" t="s">
        <v>25</v>
      </c>
      <c r="C4" s="44" t="s">
        <v>16</v>
      </c>
      <c r="D4" s="63" t="s">
        <v>350</v>
      </c>
      <c r="E4" s="63" t="s">
        <v>351</v>
      </c>
      <c r="F4" s="63" t="s">
        <v>345</v>
      </c>
      <c r="G4" s="64">
        <v>45170</v>
      </c>
      <c r="H4" s="64">
        <v>45200</v>
      </c>
      <c r="I4" s="44">
        <f t="shared" si="0"/>
        <v>30</v>
      </c>
      <c r="J4" s="63">
        <v>1</v>
      </c>
      <c r="K4" s="63">
        <v>1</v>
      </c>
      <c r="L4" s="63">
        <v>1</v>
      </c>
      <c r="M4" s="63" t="s">
        <v>352</v>
      </c>
      <c r="N4" s="56" t="s">
        <v>21</v>
      </c>
    </row>
    <row r="5" spans="1:14">
      <c r="A5" s="43">
        <f t="shared" si="1"/>
        <v>4</v>
      </c>
      <c r="B5" s="44" t="s">
        <v>25</v>
      </c>
      <c r="C5" s="44" t="s">
        <v>16</v>
      </c>
      <c r="D5" s="63" t="s">
        <v>353</v>
      </c>
      <c r="E5" s="63" t="s">
        <v>354</v>
      </c>
      <c r="F5" s="63" t="s">
        <v>345</v>
      </c>
      <c r="G5" s="64">
        <v>45439</v>
      </c>
      <c r="H5" s="86">
        <v>45588</v>
      </c>
      <c r="I5" s="44">
        <f t="shared" si="0"/>
        <v>149</v>
      </c>
      <c r="J5" s="63">
        <v>1</v>
      </c>
      <c r="K5" s="63">
        <v>9</v>
      </c>
      <c r="L5" s="87">
        <v>1</v>
      </c>
      <c r="M5" s="87" t="s">
        <v>355</v>
      </c>
      <c r="N5" s="56" t="s">
        <v>21</v>
      </c>
    </row>
    <row r="6" spans="1:14" ht="18.75">
      <c r="A6" s="43">
        <f t="shared" si="1"/>
        <v>5</v>
      </c>
      <c r="B6" s="44" t="s">
        <v>25</v>
      </c>
      <c r="C6" s="44" t="s">
        <v>16</v>
      </c>
      <c r="D6" s="85" t="s">
        <v>353</v>
      </c>
      <c r="E6" s="63" t="s">
        <v>356</v>
      </c>
      <c r="F6" s="63" t="s">
        <v>345</v>
      </c>
      <c r="G6" s="64">
        <v>45483</v>
      </c>
      <c r="H6" s="64">
        <v>45489</v>
      </c>
      <c r="I6" s="44">
        <f t="shared" si="0"/>
        <v>6</v>
      </c>
      <c r="J6" s="63">
        <v>1</v>
      </c>
      <c r="K6" s="63">
        <v>2</v>
      </c>
      <c r="L6" s="63">
        <v>1</v>
      </c>
      <c r="M6" s="88" t="s">
        <v>357</v>
      </c>
      <c r="N6" s="56" t="s">
        <v>21</v>
      </c>
    </row>
    <row r="7" spans="1:14" ht="27" customHeight="1">
      <c r="A7" s="43">
        <f t="shared" si="1"/>
        <v>6</v>
      </c>
      <c r="B7" s="44" t="s">
        <v>15</v>
      </c>
      <c r="C7" s="44" t="s">
        <v>16</v>
      </c>
      <c r="D7" s="85" t="s">
        <v>318</v>
      </c>
      <c r="E7" s="63" t="s">
        <v>358</v>
      </c>
      <c r="F7" s="63" t="s">
        <v>345</v>
      </c>
      <c r="G7" s="64">
        <v>45383</v>
      </c>
      <c r="H7" s="64">
        <v>45432</v>
      </c>
      <c r="I7" s="44">
        <f t="shared" si="0"/>
        <v>49</v>
      </c>
      <c r="J7" s="63">
        <v>1</v>
      </c>
      <c r="K7" s="63">
        <v>5</v>
      </c>
      <c r="L7" s="63">
        <v>1</v>
      </c>
      <c r="M7" s="63" t="s">
        <v>359</v>
      </c>
      <c r="N7" s="56" t="s">
        <v>21</v>
      </c>
    </row>
    <row r="8" spans="1:14" ht="56.25">
      <c r="A8" s="43">
        <f t="shared" si="1"/>
        <v>7</v>
      </c>
      <c r="B8" s="44" t="s">
        <v>15</v>
      </c>
      <c r="C8" s="44" t="s">
        <v>16</v>
      </c>
      <c r="D8" s="85" t="s">
        <v>353</v>
      </c>
      <c r="E8" s="63" t="s">
        <v>317</v>
      </c>
      <c r="F8" s="63" t="s">
        <v>345</v>
      </c>
      <c r="G8" s="89">
        <v>45572</v>
      </c>
      <c r="H8" s="89">
        <v>45528</v>
      </c>
      <c r="I8" s="44">
        <f t="shared" si="0"/>
        <v>-44</v>
      </c>
      <c r="J8" s="87">
        <v>1</v>
      </c>
      <c r="K8" s="87">
        <v>2</v>
      </c>
      <c r="L8" s="87">
        <v>1</v>
      </c>
      <c r="M8" s="90" t="s">
        <v>360</v>
      </c>
      <c r="N8" s="56" t="s">
        <v>361</v>
      </c>
    </row>
    <row r="9" spans="1:14" ht="25.5" customHeight="1">
      <c r="A9" s="43">
        <f t="shared" si="1"/>
        <v>8</v>
      </c>
      <c r="B9" s="44" t="s">
        <v>35</v>
      </c>
      <c r="C9" s="44" t="s">
        <v>16</v>
      </c>
      <c r="D9" s="63" t="s">
        <v>362</v>
      </c>
      <c r="E9" s="91" t="s">
        <v>316</v>
      </c>
      <c r="F9" s="63" t="s">
        <v>345</v>
      </c>
      <c r="G9" s="64">
        <v>45551</v>
      </c>
      <c r="H9" s="89">
        <v>45551</v>
      </c>
      <c r="I9" s="44">
        <f t="shared" si="0"/>
        <v>0</v>
      </c>
      <c r="J9" s="63">
        <v>2</v>
      </c>
      <c r="K9" s="63">
        <v>4</v>
      </c>
      <c r="L9" s="63">
        <v>2</v>
      </c>
      <c r="M9" s="92" t="s">
        <v>363</v>
      </c>
      <c r="N9" s="56" t="s">
        <v>21</v>
      </c>
    </row>
    <row r="10" spans="1:14" ht="24" customHeight="1">
      <c r="A10" s="43">
        <f t="shared" si="1"/>
        <v>9</v>
      </c>
      <c r="B10" s="44" t="s">
        <v>15</v>
      </c>
      <c r="C10" s="44" t="s">
        <v>16</v>
      </c>
      <c r="D10" s="87" t="s">
        <v>364</v>
      </c>
      <c r="E10" s="63" t="s">
        <v>316</v>
      </c>
      <c r="F10" s="63" t="s">
        <v>345</v>
      </c>
      <c r="G10" s="89">
        <v>45323</v>
      </c>
      <c r="H10" s="89">
        <v>45356</v>
      </c>
      <c r="I10" s="44">
        <f t="shared" si="0"/>
        <v>33</v>
      </c>
      <c r="J10" s="87">
        <v>1</v>
      </c>
      <c r="K10" s="63">
        <v>1</v>
      </c>
      <c r="L10" s="87">
        <v>1</v>
      </c>
      <c r="M10" s="92" t="s">
        <v>365</v>
      </c>
      <c r="N10" s="56" t="s">
        <v>21</v>
      </c>
    </row>
    <row r="11" spans="1:14" ht="23.25" customHeight="1">
      <c r="A11" s="43">
        <f t="shared" si="1"/>
        <v>10</v>
      </c>
      <c r="B11" s="44" t="s">
        <v>35</v>
      </c>
      <c r="C11" s="44" t="s">
        <v>16</v>
      </c>
      <c r="D11" s="93" t="s">
        <v>366</v>
      </c>
      <c r="E11" s="65" t="s">
        <v>367</v>
      </c>
      <c r="F11" s="65" t="s">
        <v>345</v>
      </c>
      <c r="G11" s="94">
        <v>45610</v>
      </c>
      <c r="H11" s="94">
        <v>45566</v>
      </c>
      <c r="I11" s="44">
        <f t="shared" si="0"/>
        <v>-44</v>
      </c>
      <c r="J11" s="93">
        <v>1</v>
      </c>
      <c r="K11" s="65">
        <v>1</v>
      </c>
      <c r="L11" s="93">
        <v>1</v>
      </c>
      <c r="M11" s="65" t="s">
        <v>368</v>
      </c>
      <c r="N11" s="56" t="s">
        <v>21</v>
      </c>
    </row>
  </sheetData>
  <autoFilter ref="A1:N11" xr:uid="{00000000-0009-0000-0000-000020000000}"/>
  <dataValidations count="2">
    <dataValidation type="list" allowBlank="1" showErrorMessage="1" sqref="C2:C11" xr:uid="{00000000-0002-0000-2000-000000000000}">
      <formula1>"Официальный,Неофициальный"</formula1>
    </dataValidation>
    <dataValidation type="list" allowBlank="1" showErrorMessage="1" sqref="B2:B11" xr:uid="{00000000-0002-0000-20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FF00"/>
    <outlinePr summaryBelow="0" summaryRight="0"/>
    <pageSetUpPr fitToPage="1"/>
  </sheetPr>
  <dimension ref="A1:K13"/>
  <sheetViews>
    <sheetView workbookViewId="0"/>
  </sheetViews>
  <sheetFormatPr defaultColWidth="12.5703125" defaultRowHeight="15.75" customHeight="1"/>
  <cols>
    <col min="1" max="1" width="10.85546875" customWidth="1"/>
    <col min="2" max="2" width="14.7109375" customWidth="1"/>
    <col min="3" max="3" width="18.5703125" customWidth="1"/>
    <col min="4" max="4" width="19.140625" customWidth="1"/>
    <col min="5" max="5" width="21.85546875" customWidth="1"/>
    <col min="6" max="6" width="14.42578125" customWidth="1"/>
    <col min="7" max="7" width="13.85546875" customWidth="1"/>
    <col min="8" max="8" width="9.7109375" customWidth="1"/>
    <col min="9" max="9" width="11.42578125" customWidth="1"/>
    <col min="10" max="10" width="26.42578125" customWidth="1"/>
    <col min="11" max="11" width="31.7109375" customWidth="1"/>
  </cols>
  <sheetData>
    <row r="1" spans="1:11" ht="94.5">
      <c r="A1" s="95" t="s">
        <v>0</v>
      </c>
      <c r="B1" s="96" t="s">
        <v>6</v>
      </c>
      <c r="C1" s="95" t="s">
        <v>5</v>
      </c>
      <c r="D1" s="95" t="s">
        <v>4</v>
      </c>
      <c r="E1" s="95" t="s">
        <v>3</v>
      </c>
      <c r="F1" s="95" t="s">
        <v>273</v>
      </c>
      <c r="G1" s="96" t="s">
        <v>7</v>
      </c>
      <c r="H1" s="96" t="s">
        <v>274</v>
      </c>
      <c r="I1" s="96" t="s">
        <v>11</v>
      </c>
      <c r="J1" s="29" t="s">
        <v>275</v>
      </c>
      <c r="K1" s="29" t="s">
        <v>315</v>
      </c>
    </row>
    <row r="2" spans="1:11" ht="75">
      <c r="A2" s="56">
        <v>1</v>
      </c>
      <c r="B2" s="97" t="s">
        <v>369</v>
      </c>
      <c r="C2" s="56" t="s">
        <v>345</v>
      </c>
      <c r="D2" s="56" t="s">
        <v>344</v>
      </c>
      <c r="E2" s="32" t="s">
        <v>343</v>
      </c>
      <c r="F2" s="56">
        <v>1</v>
      </c>
      <c r="G2" s="97">
        <v>45406</v>
      </c>
      <c r="H2" s="56">
        <v>5</v>
      </c>
      <c r="I2" s="56">
        <v>1</v>
      </c>
      <c r="J2" s="32" t="s">
        <v>346</v>
      </c>
      <c r="K2" s="32" t="s">
        <v>21</v>
      </c>
    </row>
    <row r="3" spans="1:11" ht="45">
      <c r="A3" s="56">
        <v>2</v>
      </c>
      <c r="B3" s="97" t="s">
        <v>370</v>
      </c>
      <c r="C3" s="56" t="s">
        <v>345</v>
      </c>
      <c r="D3" s="56" t="s">
        <v>348</v>
      </c>
      <c r="E3" s="98" t="s">
        <v>371</v>
      </c>
      <c r="F3" s="56">
        <v>1</v>
      </c>
      <c r="G3" s="97">
        <v>45453</v>
      </c>
      <c r="H3" s="56">
        <v>1</v>
      </c>
      <c r="I3" s="56">
        <v>1</v>
      </c>
      <c r="J3" s="37" t="s">
        <v>349</v>
      </c>
      <c r="K3" s="32" t="s">
        <v>21</v>
      </c>
    </row>
    <row r="4" spans="1:11" ht="60">
      <c r="A4" s="56">
        <v>3</v>
      </c>
      <c r="B4" s="97">
        <v>45170</v>
      </c>
      <c r="C4" s="56" t="s">
        <v>345</v>
      </c>
      <c r="D4" s="56" t="s">
        <v>351</v>
      </c>
      <c r="E4" s="32" t="s">
        <v>350</v>
      </c>
      <c r="F4" s="56">
        <v>1</v>
      </c>
      <c r="G4" s="97">
        <v>45200</v>
      </c>
      <c r="H4" s="56">
        <v>1</v>
      </c>
      <c r="I4" s="56">
        <v>1</v>
      </c>
      <c r="J4" s="37" t="s">
        <v>352</v>
      </c>
      <c r="K4" s="32" t="s">
        <v>21</v>
      </c>
    </row>
    <row r="5" spans="1:11" ht="45">
      <c r="A5" s="56">
        <v>6</v>
      </c>
      <c r="B5" s="97" t="s">
        <v>372</v>
      </c>
      <c r="C5" s="56" t="s">
        <v>345</v>
      </c>
      <c r="D5" s="56" t="s">
        <v>354</v>
      </c>
      <c r="E5" s="32" t="s">
        <v>353</v>
      </c>
      <c r="F5" s="56">
        <v>1</v>
      </c>
      <c r="G5" s="99">
        <v>45588</v>
      </c>
      <c r="H5" s="56">
        <v>9</v>
      </c>
      <c r="I5" s="57">
        <v>1</v>
      </c>
      <c r="J5" s="57" t="s">
        <v>355</v>
      </c>
      <c r="K5" s="32" t="s">
        <v>21</v>
      </c>
    </row>
    <row r="6" spans="1:11" ht="30.75">
      <c r="A6" s="56">
        <v>7</v>
      </c>
      <c r="B6" s="97">
        <v>45483</v>
      </c>
      <c r="C6" s="56" t="s">
        <v>345</v>
      </c>
      <c r="D6" s="56" t="s">
        <v>356</v>
      </c>
      <c r="E6" s="98" t="s">
        <v>353</v>
      </c>
      <c r="F6" s="56">
        <v>1</v>
      </c>
      <c r="G6" s="97">
        <v>45489</v>
      </c>
      <c r="H6" s="56">
        <v>2</v>
      </c>
      <c r="I6" s="56">
        <v>1</v>
      </c>
      <c r="J6" s="100" t="s">
        <v>357</v>
      </c>
      <c r="K6" s="32" t="s">
        <v>21</v>
      </c>
    </row>
    <row r="7" spans="1:11" ht="30">
      <c r="A7" s="56">
        <v>8</v>
      </c>
      <c r="B7" s="97">
        <v>45383</v>
      </c>
      <c r="C7" s="56" t="s">
        <v>345</v>
      </c>
      <c r="D7" s="56" t="s">
        <v>358</v>
      </c>
      <c r="E7" s="101" t="s">
        <v>318</v>
      </c>
      <c r="F7" s="56">
        <v>1</v>
      </c>
      <c r="G7" s="97">
        <v>45432</v>
      </c>
      <c r="H7" s="56">
        <v>5</v>
      </c>
      <c r="I7" s="56">
        <v>1</v>
      </c>
      <c r="J7" s="37" t="s">
        <v>359</v>
      </c>
      <c r="K7" s="32" t="s">
        <v>21</v>
      </c>
    </row>
    <row r="8" spans="1:11" ht="54">
      <c r="A8" s="57">
        <v>9</v>
      </c>
      <c r="B8" s="102">
        <v>45572</v>
      </c>
      <c r="C8" s="56" t="s">
        <v>345</v>
      </c>
      <c r="D8" s="56" t="s">
        <v>317</v>
      </c>
      <c r="E8" s="98" t="s">
        <v>353</v>
      </c>
      <c r="F8" s="57">
        <v>1</v>
      </c>
      <c r="G8" s="102">
        <v>45528</v>
      </c>
      <c r="H8" s="57">
        <v>2</v>
      </c>
      <c r="I8" s="57">
        <v>1</v>
      </c>
      <c r="J8" s="103" t="s">
        <v>360</v>
      </c>
      <c r="K8" s="32" t="s">
        <v>361</v>
      </c>
    </row>
    <row r="9" spans="1:11" ht="30">
      <c r="A9" s="56">
        <v>10</v>
      </c>
      <c r="B9" s="97">
        <v>45551</v>
      </c>
      <c r="C9" s="56" t="s">
        <v>345</v>
      </c>
      <c r="D9" s="104" t="s">
        <v>316</v>
      </c>
      <c r="E9" s="32" t="s">
        <v>362</v>
      </c>
      <c r="F9" s="56">
        <v>2</v>
      </c>
      <c r="G9" s="102">
        <v>45551</v>
      </c>
      <c r="H9" s="56">
        <v>4</v>
      </c>
      <c r="I9" s="56">
        <v>2</v>
      </c>
      <c r="J9" s="105" t="s">
        <v>363</v>
      </c>
      <c r="K9" s="32" t="s">
        <v>21</v>
      </c>
    </row>
    <row r="10" spans="1:11" ht="18">
      <c r="A10" s="57">
        <v>11</v>
      </c>
      <c r="B10" s="102">
        <v>45323</v>
      </c>
      <c r="C10" s="56" t="s">
        <v>345</v>
      </c>
      <c r="D10" s="56" t="s">
        <v>316</v>
      </c>
      <c r="E10" s="106" t="s">
        <v>364</v>
      </c>
      <c r="F10" s="57">
        <v>1</v>
      </c>
      <c r="G10" s="102">
        <v>45356</v>
      </c>
      <c r="H10" s="56">
        <v>1</v>
      </c>
      <c r="I10" s="57">
        <v>1</v>
      </c>
      <c r="J10" s="107" t="s">
        <v>365</v>
      </c>
      <c r="K10" s="32" t="s">
        <v>21</v>
      </c>
    </row>
    <row r="11" spans="1:11" ht="27" customHeight="1">
      <c r="A11" s="57">
        <v>12</v>
      </c>
      <c r="B11" s="102">
        <v>45610</v>
      </c>
      <c r="C11" s="56" t="s">
        <v>345</v>
      </c>
      <c r="D11" s="56" t="s">
        <v>367</v>
      </c>
      <c r="E11" s="106" t="s">
        <v>366</v>
      </c>
      <c r="F11" s="57">
        <v>1</v>
      </c>
      <c r="G11" s="102">
        <v>45566</v>
      </c>
      <c r="H11" s="56">
        <v>1</v>
      </c>
      <c r="I11" s="57">
        <v>1</v>
      </c>
      <c r="J11" s="37" t="s">
        <v>368</v>
      </c>
      <c r="K11" s="32" t="s">
        <v>21</v>
      </c>
    </row>
    <row r="12" spans="1:11" ht="12.7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1" ht="12.75">
      <c r="A13" s="55"/>
      <c r="B13" s="55"/>
      <c r="C13" s="55"/>
      <c r="D13" s="55"/>
      <c r="E13" s="55"/>
      <c r="F13" s="55"/>
      <c r="G13" s="55"/>
      <c r="H13" s="55"/>
      <c r="I13" s="5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cols>
    <col min="1" max="1" width="14.85546875" customWidth="1"/>
    <col min="2" max="2" width="27.28515625" customWidth="1"/>
    <col min="3" max="4" width="31" customWidth="1"/>
    <col min="5" max="5" width="38.140625" customWidth="1"/>
    <col min="6" max="6" width="30.42578125" customWidth="1"/>
    <col min="7" max="7" width="23.140625" customWidth="1"/>
    <col min="8" max="8" width="19.42578125" customWidth="1"/>
    <col min="9" max="10" width="26.7109375" customWidth="1"/>
    <col min="11" max="11" width="16.140625" customWidth="1"/>
    <col min="12" max="12" width="14.42578125" customWidth="1"/>
    <col min="13" max="13" width="25.42578125" customWidth="1"/>
    <col min="14" max="14" width="31.7109375" customWidth="1"/>
  </cols>
  <sheetData>
    <row r="1" spans="1:14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14</v>
      </c>
    </row>
    <row r="2" spans="1:14" ht="30.75" customHeight="1">
      <c r="A2" s="52">
        <v>1</v>
      </c>
      <c r="B2" s="50" t="s">
        <v>35</v>
      </c>
      <c r="C2" s="50" t="s">
        <v>16</v>
      </c>
      <c r="D2" s="50" t="s">
        <v>373</v>
      </c>
      <c r="E2" s="50"/>
      <c r="F2" s="50" t="s">
        <v>374</v>
      </c>
      <c r="G2" s="51">
        <v>45657</v>
      </c>
      <c r="H2" s="51">
        <v>45657</v>
      </c>
      <c r="I2" s="50">
        <f>H2-G2</f>
        <v>0</v>
      </c>
      <c r="J2" s="50">
        <v>1</v>
      </c>
      <c r="K2" s="50">
        <v>1</v>
      </c>
      <c r="L2" s="50">
        <v>1</v>
      </c>
      <c r="M2" s="108" t="s">
        <v>375</v>
      </c>
      <c r="N2" s="52" t="s">
        <v>21</v>
      </c>
    </row>
  </sheetData>
  <autoFilter ref="A1:N2" xr:uid="{00000000-0009-0000-0000-000022000000}"/>
  <dataValidations count="2">
    <dataValidation type="list" allowBlank="1" showErrorMessage="1" sqref="C2" xr:uid="{00000000-0002-0000-2200-000000000000}">
      <formula1>"Официальный,Неофициальный"</formula1>
    </dataValidation>
    <dataValidation type="list" allowBlank="1" showErrorMessage="1" sqref="B2" xr:uid="{00000000-0002-0000-2200-000001000000}">
      <formula1>"Руководитель,Специалист,Рабочий,Служащий,Стажер"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ЧСК Точиктелеком</vt:lpstr>
      <vt:lpstr>Филиали ВМКБ </vt:lpstr>
      <vt:lpstr>Филиали Сугд</vt:lpstr>
      <vt:lpstr>филиали Маркази </vt:lpstr>
      <vt:lpstr>Филиали ШЧТМ</vt:lpstr>
      <vt:lpstr>Филиали Хатлон </vt:lpstr>
      <vt:lpstr>ҶДММ "Композит Т.А."</vt:lpstr>
      <vt:lpstr>ООО "Азия Кемикал" (копия)</vt:lpstr>
      <vt:lpstr>ООО "Весто Эдукейшн" </vt:lpstr>
      <vt:lpstr>Проект "Сити Кард" (копия)</vt:lpstr>
      <vt:lpstr>Проект "Сити Карт"</vt:lpstr>
      <vt:lpstr>ООО "Филиззот" (копия)</vt:lpstr>
      <vt:lpstr>ООО"Филиззот"</vt:lpstr>
      <vt:lpstr>ООО "КМ Муосир"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Aser</cp:lastModifiedBy>
  <dcterms:modified xsi:type="dcterms:W3CDTF">2026-04-23T12:21:54Z</dcterms:modified>
</cp:coreProperties>
</file>